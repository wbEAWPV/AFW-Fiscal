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.sharepoint.com/teams/AWCF1_Poverty_Equity-WBGroup/Shared Documents/AWCF1 Poverty_Equity/18 PROJECTS/103 AFW_Fiscal/03-Outputs/"/>
    </mc:Choice>
  </mc:AlternateContent>
  <xr:revisionPtr revIDLastSave="7" documentId="13_ncr:1_{3CA89575-8D88-4038-BB1E-8C0E2A9915F7}" xr6:coauthVersionLast="47" xr6:coauthVersionMax="47" xr10:uidLastSave="{290D01EC-2932-4210-9D35-6C6EFC347B5B}"/>
  <bookViews>
    <workbookView xWindow="-98" yWindow="-98" windowWidth="19396" windowHeight="11475" tabRatio="781" firstSheet="1" activeTab="1" xr2:uid="{00000000-000D-0000-FFFF-FFFF00000000}"/>
  </bookViews>
  <sheets>
    <sheet name="AFW_Policy" sheetId="169" r:id="rId1"/>
    <sheet name="AFW_Parameters" sheetId="160" r:id="rId2"/>
    <sheet name="AFW_Targeting" sheetId="168" r:id="rId3"/>
    <sheet name="AFW_Parameters_MM" sheetId="167" state="hidden" r:id="rId4"/>
    <sheet name="Products_SEN" sheetId="164" r:id="rId5"/>
    <sheet name="Products_GMB" sheetId="163" r:id="rId6"/>
    <sheet name="Products_MRT" sheetId="165" r:id="rId7"/>
    <sheet name="coicop_18_3" sheetId="166" state="hidden" r:id="rId8"/>
    <sheet name="AFW_Programs" sheetId="161" state="hidden" r:id="rId9"/>
  </sheets>
  <definedNames>
    <definedName name="_xlnm._FilterDatabase" localSheetId="1" hidden="1">AFW_Parameters!$A$1:$L$440</definedName>
    <definedName name="codpr_list">#REF!</definedName>
    <definedName name="concentration">#REF!</definedName>
    <definedName name="coverage">#REF!</definedName>
    <definedName name="dummy_list">#REF!</definedName>
    <definedName name="elec_tariff_list">#REF!</definedName>
    <definedName name="elec_VAT_policy">#REF!</definedName>
    <definedName name="elec_VAT1_list">#REF!</definedName>
    <definedName name="MC">#REF!</definedName>
    <definedName name="means">#REF!</definedName>
    <definedName name="means_ext">#REF!</definedName>
    <definedName name="meantype">#REF!</definedName>
    <definedName name="PMT_list">#REF!</definedName>
    <definedName name="Povline">#REF!</definedName>
    <definedName name="Precharge_list">#REF!</definedName>
    <definedName name="rankby">#REF!</definedName>
    <definedName name="scenario_list">#REF!</definedName>
    <definedName name="scenario_list_1">#REF!</definedName>
    <definedName name="vat_esc">#REF!</definedName>
    <definedName name="vat_exemptions">#REF!</definedName>
    <definedName name="yesor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2" i="160" l="1"/>
  <c r="I180" i="160"/>
  <c r="H294" i="160"/>
  <c r="H371" i="160"/>
  <c r="H370" i="160"/>
  <c r="H369" i="160"/>
  <c r="H368" i="160"/>
  <c r="H367" i="160"/>
  <c r="H366" i="160"/>
  <c r="H365" i="160"/>
  <c r="H364" i="160"/>
  <c r="H363" i="160"/>
  <c r="H362" i="160"/>
  <c r="H361" i="160"/>
  <c r="H360" i="160"/>
  <c r="H359" i="160"/>
  <c r="H358" i="160"/>
  <c r="H357" i="160"/>
  <c r="H356" i="160"/>
  <c r="H355" i="160"/>
  <c r="H354" i="160"/>
  <c r="H353" i="160"/>
  <c r="H352" i="160"/>
  <c r="H351" i="160"/>
  <c r="H350" i="160"/>
  <c r="H349" i="160"/>
  <c r="H348" i="160"/>
  <c r="H347" i="160"/>
  <c r="H346" i="160"/>
  <c r="H345" i="160"/>
  <c r="H344" i="160"/>
  <c r="H343" i="160"/>
  <c r="H342" i="160"/>
  <c r="H341" i="160"/>
  <c r="H340" i="160"/>
  <c r="H339" i="160"/>
  <c r="H338" i="160"/>
  <c r="H337" i="160"/>
  <c r="H336" i="160"/>
  <c r="H335" i="160"/>
  <c r="H334" i="160"/>
  <c r="H333" i="160"/>
  <c r="H332" i="160"/>
  <c r="H331" i="160"/>
  <c r="H330" i="160"/>
  <c r="H329" i="160"/>
  <c r="H328" i="160"/>
  <c r="H327" i="160"/>
  <c r="H326" i="160"/>
  <c r="H325" i="160"/>
  <c r="H324" i="160"/>
  <c r="H323" i="160"/>
  <c r="H322" i="160"/>
  <c r="H321" i="160"/>
  <c r="H320" i="160"/>
  <c r="H319" i="160"/>
  <c r="H318" i="160"/>
  <c r="H317" i="160"/>
  <c r="H316" i="160"/>
  <c r="H315" i="160"/>
  <c r="H314" i="160"/>
  <c r="H313" i="160"/>
  <c r="H312" i="160"/>
  <c r="H311" i="160"/>
  <c r="H310" i="160"/>
  <c r="H309" i="160"/>
  <c r="H308" i="160"/>
  <c r="H307" i="160"/>
  <c r="H306" i="160"/>
  <c r="H305" i="160"/>
  <c r="H304" i="160"/>
  <c r="H303" i="160"/>
  <c r="H302" i="160"/>
  <c r="H301" i="160"/>
  <c r="H300" i="160"/>
  <c r="H299" i="160"/>
  <c r="H298" i="160"/>
  <c r="H297" i="160"/>
  <c r="H296" i="160"/>
  <c r="H295" i="160"/>
  <c r="H293" i="160"/>
  <c r="H292" i="160"/>
  <c r="H291" i="160"/>
  <c r="H290" i="160"/>
  <c r="H289" i="160"/>
  <c r="H288" i="160"/>
  <c r="H287" i="160"/>
  <c r="H286" i="160"/>
  <c r="H285" i="160"/>
  <c r="H284" i="160"/>
  <c r="H283" i="160"/>
  <c r="H282" i="160"/>
  <c r="H281" i="160"/>
  <c r="H280" i="160"/>
  <c r="H279" i="160"/>
  <c r="H278" i="160"/>
  <c r="H277" i="160"/>
  <c r="H276" i="160"/>
  <c r="H275" i="160"/>
  <c r="H274" i="160"/>
  <c r="H273" i="160"/>
  <c r="H272" i="160"/>
  <c r="H271" i="160"/>
  <c r="H270" i="160"/>
  <c r="H269" i="160"/>
  <c r="H268" i="160"/>
  <c r="H267" i="160"/>
  <c r="H266" i="160"/>
  <c r="H265" i="160"/>
  <c r="H264" i="160"/>
  <c r="H263" i="160"/>
  <c r="H262" i="160"/>
  <c r="H261" i="160"/>
  <c r="H260" i="160"/>
  <c r="H259" i="160"/>
  <c r="H258" i="160"/>
  <c r="H257" i="160"/>
  <c r="H256" i="160"/>
  <c r="H255" i="160"/>
  <c r="H254" i="160"/>
  <c r="H253" i="160"/>
  <c r="H252" i="160"/>
  <c r="H251" i="160"/>
  <c r="H250" i="160"/>
  <c r="H249" i="160"/>
  <c r="J248" i="160"/>
  <c r="H248" i="160"/>
  <c r="H247" i="160"/>
  <c r="J246" i="160"/>
  <c r="H246" i="160"/>
  <c r="H245" i="160"/>
  <c r="J244" i="160"/>
  <c r="H244" i="160"/>
  <c r="H243" i="160"/>
  <c r="H242" i="160"/>
  <c r="H241" i="160"/>
  <c r="H240" i="160"/>
  <c r="H239" i="160"/>
  <c r="H238" i="160"/>
  <c r="H32" i="167"/>
  <c r="H31" i="167"/>
  <c r="H30" i="167"/>
  <c r="H29" i="167"/>
  <c r="H28" i="167"/>
  <c r="H27" i="167"/>
  <c r="H26" i="167"/>
  <c r="H22" i="167"/>
  <c r="H21" i="167"/>
  <c r="H20" i="167"/>
  <c r="H19" i="167"/>
  <c r="H18" i="167"/>
  <c r="H17" i="167"/>
  <c r="H16" i="167"/>
  <c r="H15" i="167"/>
  <c r="H14" i="167"/>
  <c r="H13" i="167"/>
  <c r="H12" i="167"/>
  <c r="H11" i="167"/>
  <c r="H10" i="167"/>
  <c r="H9" i="167"/>
  <c r="H8" i="167"/>
  <c r="H7" i="167"/>
  <c r="H6" i="167"/>
  <c r="H5" i="167"/>
  <c r="H4" i="167"/>
  <c r="H3" i="167"/>
  <c r="H2" i="167"/>
  <c r="B3" i="166"/>
  <c r="B4" i="166"/>
  <c r="B5" i="166"/>
  <c r="B7" i="166"/>
  <c r="B8" i="166"/>
  <c r="B9" i="166"/>
  <c r="B10" i="166"/>
  <c r="B11" i="166"/>
  <c r="B12" i="166"/>
  <c r="B13" i="166"/>
  <c r="B14" i="166"/>
  <c r="B15" i="166"/>
  <c r="B16" i="166"/>
  <c r="B17" i="166"/>
  <c r="B18" i="166"/>
  <c r="B19" i="166"/>
  <c r="B20" i="166"/>
  <c r="B21" i="166"/>
  <c r="B22" i="166"/>
  <c r="B23" i="166"/>
  <c r="B24" i="166"/>
  <c r="B25" i="166"/>
  <c r="B26" i="166"/>
  <c r="B27" i="166"/>
  <c r="B28" i="166"/>
  <c r="B29" i="166"/>
  <c r="B30" i="166"/>
  <c r="B31" i="166"/>
  <c r="B32" i="166"/>
  <c r="B33" i="166"/>
  <c r="B34" i="166"/>
  <c r="B35" i="166"/>
  <c r="B36" i="166"/>
  <c r="B37" i="166"/>
  <c r="B38" i="166"/>
  <c r="B39" i="166"/>
  <c r="B40" i="166"/>
  <c r="B41" i="166"/>
  <c r="B42" i="166"/>
  <c r="B43" i="166"/>
  <c r="B44" i="166"/>
  <c r="B45" i="166"/>
  <c r="B46" i="166"/>
  <c r="B47" i="166"/>
  <c r="B48" i="166"/>
  <c r="B49" i="166"/>
  <c r="B50" i="166"/>
  <c r="B51" i="166"/>
  <c r="B52" i="166"/>
  <c r="B53" i="166"/>
  <c r="B54" i="166"/>
  <c r="B55" i="166"/>
  <c r="B56" i="166"/>
  <c r="B57" i="166"/>
  <c r="B58" i="166"/>
  <c r="B59" i="166"/>
  <c r="B60" i="166"/>
  <c r="B61" i="166"/>
  <c r="B62" i="166"/>
  <c r="B63" i="166"/>
  <c r="B64" i="1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tc={38596EB2-D33C-44B1-A201-6D260836B6A4}</author>
    <author>tc={888A6C41-AC09-49F9-9B17-D036E7506305}</author>
    <author>tc={1D4F1765-E6DB-470A-92B9-1301DAD7B4DB}</author>
  </authors>
  <commentList>
    <comment ref="K84" authorId="0" shapeId="0" xr:uid="{38596EB2-D33C-44B1-A201-6D260836B6A4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I had 50 million FCFA, but I removed it and moved the exemption to presim, because it was more complicated than just “all incomes below are exempted”</t>
      </text>
    </comment>
    <comment ref="J245" authorId="1" shapeId="0" xr:uid="{888A6C41-AC09-49F9-9B17-D036E7506305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Originalmente tenía 14.06</t>
      </text>
    </comment>
    <comment ref="J248" authorId="2" shapeId="0" xr:uid="{1D4F1765-E6DB-470A-92B9-1301DAD7B4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were monthly and I converted them to bimonthly, so that they are consistent.</t>
      </text>
    </comment>
  </commentList>
</comments>
</file>

<file path=xl/sharedStrings.xml><?xml version="1.0" encoding="utf-8"?>
<sst xmlns="http://schemas.openxmlformats.org/spreadsheetml/2006/main" count="6592" uniqueCount="2956">
  <si>
    <t>category</t>
  </si>
  <si>
    <t>varname</t>
  </si>
  <si>
    <t>varlabel</t>
  </si>
  <si>
    <t>DirectTransfers</t>
  </si>
  <si>
    <t>dirtransf_total</t>
  </si>
  <si>
    <t>Dir Transf</t>
  </si>
  <si>
    <t>am_prog_1</t>
  </si>
  <si>
    <t>Main Cash Transfer</t>
  </si>
  <si>
    <t>am_prog_2</t>
  </si>
  <si>
    <t>School feeding programs</t>
  </si>
  <si>
    <t>am_prog_3</t>
  </si>
  <si>
    <t>Scolarships</t>
  </si>
  <si>
    <t>am_prog_other</t>
  </si>
  <si>
    <t>Other</t>
  </si>
  <si>
    <t>ceros_dirtr</t>
  </si>
  <si>
    <t>Ceros</t>
  </si>
  <si>
    <t>Directaxes</t>
  </si>
  <si>
    <t>dirtax_total</t>
  </si>
  <si>
    <t>Direct Tax</t>
  </si>
  <si>
    <t>PIT</t>
  </si>
  <si>
    <t>Personal Income Taxes</t>
  </si>
  <si>
    <t>BIT</t>
  </si>
  <si>
    <t>Indep. &amp; Business Taxes</t>
  </si>
  <si>
    <t>PropertyTax</t>
  </si>
  <si>
    <t>Property Tax</t>
  </si>
  <si>
    <t>FinancialTax</t>
  </si>
  <si>
    <t>Tax on Financial Revenues</t>
  </si>
  <si>
    <t>nm_dirtax</t>
  </si>
  <si>
    <t>TRIMF or other dirtax</t>
  </si>
  <si>
    <t>ceros_dirt</t>
  </si>
  <si>
    <t>Contributions</t>
  </si>
  <si>
    <t>sscontribs_total</t>
  </si>
  <si>
    <t>Total Contributions</t>
  </si>
  <si>
    <t>ssc_risk</t>
  </si>
  <si>
    <t>Risk Insurance</t>
  </si>
  <si>
    <t>ssc_family</t>
  </si>
  <si>
    <t>Family Allowance</t>
  </si>
  <si>
    <t>ssc_health_1</t>
  </si>
  <si>
    <t>Health SSC - Public</t>
  </si>
  <si>
    <t>ssc_health_2</t>
  </si>
  <si>
    <t>Health SSC - Private</t>
  </si>
  <si>
    <t>ceros_ssc</t>
  </si>
  <si>
    <t>Indtaxes</t>
  </si>
  <si>
    <t>indtax_total</t>
  </si>
  <si>
    <t>Indirect Tax</t>
  </si>
  <si>
    <t>VAT_direct</t>
  </si>
  <si>
    <t>VAT Direct</t>
  </si>
  <si>
    <t>VAT_indirect</t>
  </si>
  <si>
    <t>VAT Indirect</t>
  </si>
  <si>
    <t>CD_direct</t>
  </si>
  <si>
    <t>Custom Duties</t>
  </si>
  <si>
    <t>excise_taxes</t>
  </si>
  <si>
    <t>Excise Duties</t>
  </si>
  <si>
    <t>ceros_indt</t>
  </si>
  <si>
    <t>Subsidies</t>
  </si>
  <si>
    <t>subsidy_total</t>
  </si>
  <si>
    <t xml:space="preserve"> </t>
  </si>
  <si>
    <t>subsidy_fuel_direct</t>
  </si>
  <si>
    <t>Fuel Subsidies Direct</t>
  </si>
  <si>
    <t>subsidy_fuel_indirect</t>
  </si>
  <si>
    <t>Fuel Subsidies Indirect</t>
  </si>
  <si>
    <t>subsidy_elec_direct</t>
  </si>
  <si>
    <t>Elect. Subsidies Direct</t>
  </si>
  <si>
    <t>subsidy_elec_indirect</t>
  </si>
  <si>
    <t>Elect. Subsidies Indirect</t>
  </si>
  <si>
    <t>subsidy_water_direct</t>
  </si>
  <si>
    <t>Water Subsidies Direct</t>
  </si>
  <si>
    <t>subsidy_water_indirect</t>
  </si>
  <si>
    <t>Water Subsidies Indirect</t>
  </si>
  <si>
    <t>subsidy_agric</t>
  </si>
  <si>
    <t>Agricultural Subsidies</t>
  </si>
  <si>
    <t>nm_subsidy</t>
  </si>
  <si>
    <t>Food or other Subsidy</t>
  </si>
  <si>
    <t>ceros_sub</t>
  </si>
  <si>
    <t>InKindTransfers</t>
  </si>
  <si>
    <t>inktransf_total</t>
  </si>
  <si>
    <t>Inkind</t>
  </si>
  <si>
    <t>am_educ_1</t>
  </si>
  <si>
    <t>preschool</t>
  </si>
  <si>
    <t>am_educ_2</t>
  </si>
  <si>
    <t>primary</t>
  </si>
  <si>
    <t>am_educ_3</t>
  </si>
  <si>
    <t>secondary</t>
  </si>
  <si>
    <t>am_educ_4</t>
  </si>
  <si>
    <t>college</t>
  </si>
  <si>
    <t>am_educ_7</t>
  </si>
  <si>
    <t>university</t>
  </si>
  <si>
    <t>am_health</t>
  </si>
  <si>
    <t>health</t>
  </si>
  <si>
    <t>ceros_inkt</t>
  </si>
  <si>
    <t>Responsible</t>
  </si>
  <si>
    <t>dofile</t>
  </si>
  <si>
    <t>Category</t>
  </si>
  <si>
    <t>Cat_label</t>
  </si>
  <si>
    <t>Policy</t>
  </si>
  <si>
    <t>Pol_label</t>
  </si>
  <si>
    <t>parameter</t>
  </si>
  <si>
    <t>globalname</t>
  </si>
  <si>
    <t>globalvalue_MRT</t>
  </si>
  <si>
    <t>globalvalue_GMB</t>
  </si>
  <si>
    <t>globalvalue_SEN</t>
  </si>
  <si>
    <t>Observations</t>
  </si>
  <si>
    <t>Labels</t>
  </si>
  <si>
    <t>P0</t>
  </si>
  <si>
    <t>aux_settings</t>
  </si>
  <si>
    <t>country</t>
  </si>
  <si>
    <t>MRT</t>
  </si>
  <si>
    <t>GMB</t>
  </si>
  <si>
    <t>SEN</t>
  </si>
  <si>
    <t>reference</t>
  </si>
  <si>
    <t>selec</t>
  </si>
  <si>
    <t>save_scenario</t>
  </si>
  <si>
    <t>Leave always 1</t>
  </si>
  <si>
    <t>scenario_name_save</t>
  </si>
  <si>
    <t>Ref_AFW_MRT</t>
  </si>
  <si>
    <t>Ref_AFW_GMB</t>
  </si>
  <si>
    <t>Ref_AFW_SEN</t>
  </si>
  <si>
    <t>load_scenario</t>
  </si>
  <si>
    <t>Leave always 0</t>
  </si>
  <si>
    <t>scenario_name_load</t>
  </si>
  <si>
    <t>MRT_Ref</t>
  </si>
  <si>
    <t>GMB_Ref</t>
  </si>
  <si>
    <t>SEN_Ref</t>
  </si>
  <si>
    <t>nowcasting</t>
  </si>
  <si>
    <t>nowcast24</t>
  </si>
  <si>
    <t>Leave always 0, we need more parameters.</t>
  </si>
  <si>
    <t>Andres</t>
  </si>
  <si>
    <t>02. Income Tax</t>
  </si>
  <si>
    <t>P1</t>
  </si>
  <si>
    <t>Direct Taxes</t>
  </si>
  <si>
    <t>PIT1</t>
  </si>
  <si>
    <t>incomes</t>
  </si>
  <si>
    <t>P1_1_incomes</t>
  </si>
  <si>
    <t>an_income_1</t>
  </si>
  <si>
    <t>income_base_tomatch</t>
  </si>
  <si>
    <t>incsal_y1 incsal_y2 pension_inc inc8_loyers_forPIT</t>
  </si>
  <si>
    <t>0 if NA</t>
  </si>
  <si>
    <t>rate1</t>
  </si>
  <si>
    <t>P1_1_rate1</t>
  </si>
  <si>
    <t>max1</t>
  </si>
  <si>
    <t>P1_1_max1</t>
  </si>
  <si>
    <t>inf if NA</t>
  </si>
  <si>
    <t>rate2</t>
  </si>
  <si>
    <t>P1_1_rate2</t>
  </si>
  <si>
    <t>max2</t>
  </si>
  <si>
    <t>P1_1_max2</t>
  </si>
  <si>
    <t>rate3</t>
  </si>
  <si>
    <t>P1_1_rate3</t>
  </si>
  <si>
    <t>max3</t>
  </si>
  <si>
    <t>P1_1_max3</t>
  </si>
  <si>
    <t>rate4</t>
  </si>
  <si>
    <t>P1_1_rate4</t>
  </si>
  <si>
    <t>max4</t>
  </si>
  <si>
    <t>P1_1_max4</t>
  </si>
  <si>
    <t>rate5</t>
  </si>
  <si>
    <t>P1_1_rate5</t>
  </si>
  <si>
    <t>max5</t>
  </si>
  <si>
    <t>P1_1_max5</t>
  </si>
  <si>
    <t>rate6</t>
  </si>
  <si>
    <t>P1_1_rate6</t>
  </si>
  <si>
    <t>max6</t>
  </si>
  <si>
    <t>P1_1_max6</t>
  </si>
  <si>
    <t>rate7</t>
  </si>
  <si>
    <t>P1_1_rate7</t>
  </si>
  <si>
    <t>max7</t>
  </si>
  <si>
    <t>P1_1_max7</t>
  </si>
  <si>
    <t>rate8</t>
  </si>
  <si>
    <t>P1_1_rate8</t>
  </si>
  <si>
    <t>max8</t>
  </si>
  <si>
    <t>P1_1_max8</t>
  </si>
  <si>
    <t>rate9</t>
  </si>
  <si>
    <t>P1_1_rate9</t>
  </si>
  <si>
    <t>max9</t>
  </si>
  <si>
    <t>P1_1_max9</t>
  </si>
  <si>
    <t>rate10</t>
  </si>
  <si>
    <t>P1_1_rate10</t>
  </si>
  <si>
    <t>abat1_cond</t>
  </si>
  <si>
    <t>P1_1_abat1_cond</t>
  </si>
  <si>
    <t>allow1_ind_1</t>
  </si>
  <si>
    <t>Workers</t>
  </si>
  <si>
    <t>abat1_incs</t>
  </si>
  <si>
    <t>P1_1_abat1_incs</t>
  </si>
  <si>
    <t>incsal_y1 incsal_y2</t>
  </si>
  <si>
    <t>abat1_rate</t>
  </si>
  <si>
    <t>P1_1_abat1_rate</t>
  </si>
  <si>
    <t>abat1_min</t>
  </si>
  <si>
    <t>P1_1_abat1_min</t>
  </si>
  <si>
    <t>abat1_max</t>
  </si>
  <si>
    <t>P1_1_abat1_max</t>
  </si>
  <si>
    <t>abat2_cond</t>
  </si>
  <si>
    <t>P1_1_abat2_cond</t>
  </si>
  <si>
    <t>allow2_ind_1</t>
  </si>
  <si>
    <t>Pensioners</t>
  </si>
  <si>
    <t>abat2_incs</t>
  </si>
  <si>
    <t>P1_1_abat2_incs</t>
  </si>
  <si>
    <t>pension_inc</t>
  </si>
  <si>
    <t>abat2_rate</t>
  </si>
  <si>
    <t>P1_1_abat2_rate</t>
  </si>
  <si>
    <t>abat2_min</t>
  </si>
  <si>
    <t>P1_1_abat2_min</t>
  </si>
  <si>
    <t>abat2_max</t>
  </si>
  <si>
    <t>P1_1_abat2_max</t>
  </si>
  <si>
    <t>abat3_cond</t>
  </si>
  <si>
    <t>P1_1_abat3_cond</t>
  </si>
  <si>
    <t> </t>
  </si>
  <si>
    <t>abat3_incs</t>
  </si>
  <si>
    <t>P1_1_abat3_incs</t>
  </si>
  <si>
    <t>abat3_rate</t>
  </si>
  <si>
    <t>P1_1_abat3_rate</t>
  </si>
  <si>
    <t>abat3_min</t>
  </si>
  <si>
    <t>P1_1_abat3_min</t>
  </si>
  <si>
    <t>abat3_max</t>
  </si>
  <si>
    <t>P1_1_abat3_max</t>
  </si>
  <si>
    <t>Y_min</t>
  </si>
  <si>
    <t>P1_1_Y_min</t>
  </si>
  <si>
    <t>Y_max</t>
  </si>
  <si>
    <t>P1_1_Y_max</t>
  </si>
  <si>
    <t>marginal</t>
  </si>
  <si>
    <t>P1_1_marginal</t>
  </si>
  <si>
    <t>1=marginal</t>
  </si>
  <si>
    <t>parts</t>
  </si>
  <si>
    <t>P1_1_parts</t>
  </si>
  <si>
    <t>yes/no</t>
  </si>
  <si>
    <t>PIT2</t>
  </si>
  <si>
    <t>P1_2_incomes</t>
  </si>
  <si>
    <t>inc_PIT2</t>
  </si>
  <si>
    <t>P1_2_rate1</t>
  </si>
  <si>
    <t>P1_2_max1</t>
  </si>
  <si>
    <t>P1_2_rate2</t>
  </si>
  <si>
    <t>P1_2_max2</t>
  </si>
  <si>
    <t>P1_2_rate3</t>
  </si>
  <si>
    <t>P1_2_max3</t>
  </si>
  <si>
    <t>P1_2_rate4</t>
  </si>
  <si>
    <t>P1_2_max4</t>
  </si>
  <si>
    <t>P1_2_rate5</t>
  </si>
  <si>
    <t>P1_2_max5</t>
  </si>
  <si>
    <t>P1_2_rate6</t>
  </si>
  <si>
    <t>P1_2_max6</t>
  </si>
  <si>
    <t>P1_2_rate7</t>
  </si>
  <si>
    <t>P1_2_max7</t>
  </si>
  <si>
    <t>P1_2_rate8</t>
  </si>
  <si>
    <t>P1_2_max8</t>
  </si>
  <si>
    <t>P1_2_rate9</t>
  </si>
  <si>
    <t>P1_2_max9</t>
  </si>
  <si>
    <t>P1_2_rate10</t>
  </si>
  <si>
    <t>P1_2_abat1_cond</t>
  </si>
  <si>
    <t>reel_simplif_dummy</t>
  </si>
  <si>
    <t>P1_2_abat1_incs</t>
  </si>
  <si>
    <t>P1_2_abat1_rate</t>
  </si>
  <si>
    <t>Reel normal/simplifie</t>
  </si>
  <si>
    <t>P1_2_abat1_min</t>
  </si>
  <si>
    <t>P1_2_abat1_max</t>
  </si>
  <si>
    <t>P1_2_abat2_cond</t>
  </si>
  <si>
    <t>P1_2_abat2_incs</t>
  </si>
  <si>
    <t>P1_2_abat2_rate</t>
  </si>
  <si>
    <t>P1_2_abat2_min</t>
  </si>
  <si>
    <t>P1_2_abat2_max</t>
  </si>
  <si>
    <t>P1_2_abat3_cond</t>
  </si>
  <si>
    <t>P1_2_abat3_incs</t>
  </si>
  <si>
    <t>P1_2_abat3_rate</t>
  </si>
  <si>
    <t>P1_2_abat3_min</t>
  </si>
  <si>
    <t>P1_2_abat3_max</t>
  </si>
  <si>
    <t>P1_2_Y_min</t>
  </si>
  <si>
    <t>P1_2_Y_max</t>
  </si>
  <si>
    <t>P1_2_marginal</t>
  </si>
  <si>
    <t>P1_2_parts</t>
  </si>
  <si>
    <t>Parts</t>
  </si>
  <si>
    <t>number1</t>
  </si>
  <si>
    <t>P1_3_number1</t>
  </si>
  <si>
    <t>P1_3_rate1</t>
  </si>
  <si>
    <t>min1</t>
  </si>
  <si>
    <t>P1_3_min1</t>
  </si>
  <si>
    <t>P1_3_max1</t>
  </si>
  <si>
    <t>number2</t>
  </si>
  <si>
    <t>P1_3_number2</t>
  </si>
  <si>
    <t>P1_3_rate2</t>
  </si>
  <si>
    <t>min2</t>
  </si>
  <si>
    <t>P1_3_min2</t>
  </si>
  <si>
    <t>P1_3_max2</t>
  </si>
  <si>
    <t>number3</t>
  </si>
  <si>
    <t>P1_3_number3</t>
  </si>
  <si>
    <t>P1_3_rate3</t>
  </si>
  <si>
    <t>min3</t>
  </si>
  <si>
    <t>P1_3_min3</t>
  </si>
  <si>
    <t>P1_3_max3</t>
  </si>
  <si>
    <t>number4</t>
  </si>
  <si>
    <t>P1_3_number4</t>
  </si>
  <si>
    <t>P1_3_rate4</t>
  </si>
  <si>
    <t>min4</t>
  </si>
  <si>
    <t>P1_3_min4</t>
  </si>
  <si>
    <t>P1_3_max4</t>
  </si>
  <si>
    <t>number5</t>
  </si>
  <si>
    <t>P1_3_number5</t>
  </si>
  <si>
    <t>P1_3_rate5</t>
  </si>
  <si>
    <t>min5</t>
  </si>
  <si>
    <t>P1_3_min5</t>
  </si>
  <si>
    <t>P1_3_max5</t>
  </si>
  <si>
    <t>number6</t>
  </si>
  <si>
    <t>P1_3_number6</t>
  </si>
  <si>
    <t>P1_3_rate6</t>
  </si>
  <si>
    <t>min6</t>
  </si>
  <si>
    <t>P1_3_min6</t>
  </si>
  <si>
    <t>P1_3_max6</t>
  </si>
  <si>
    <t>number7</t>
  </si>
  <si>
    <t>P1_3_number7</t>
  </si>
  <si>
    <t>P1_3_rate7</t>
  </si>
  <si>
    <t>min7</t>
  </si>
  <si>
    <t>P1_3_min7</t>
  </si>
  <si>
    <t>P1_3_max7</t>
  </si>
  <si>
    <t>number8</t>
  </si>
  <si>
    <t>P1_3_number8</t>
  </si>
  <si>
    <t>P1_3_rate8</t>
  </si>
  <si>
    <t>min8</t>
  </si>
  <si>
    <t>P1_3_min8</t>
  </si>
  <si>
    <t>P1_3_max8</t>
  </si>
  <si>
    <t>number9</t>
  </si>
  <si>
    <t>P1_3_number9</t>
  </si>
  <si>
    <t>P1_3_rate9</t>
  </si>
  <si>
    <t>min9</t>
  </si>
  <si>
    <t>P1_3_min9</t>
  </si>
  <si>
    <t>P1_3_max9</t>
  </si>
  <si>
    <t>number10</t>
  </si>
  <si>
    <t>P1_3_number10</t>
  </si>
  <si>
    <t>P1_3_rate10</t>
  </si>
  <si>
    <t>min10</t>
  </si>
  <si>
    <t>P1_3_min10</t>
  </si>
  <si>
    <t>max10</t>
  </si>
  <si>
    <t>P1_3_max10</t>
  </si>
  <si>
    <t>number11</t>
  </si>
  <si>
    <t>P1_3_number11</t>
  </si>
  <si>
    <t>rate11</t>
  </si>
  <si>
    <t>P1_3_rate11</t>
  </si>
  <si>
    <t>min11</t>
  </si>
  <si>
    <t>P1_3_min11</t>
  </si>
  <si>
    <t>max11</t>
  </si>
  <si>
    <t>P1_3_max11</t>
  </si>
  <si>
    <t>number12</t>
  </si>
  <si>
    <t>P1_3_number12</t>
  </si>
  <si>
    <t>rate12</t>
  </si>
  <si>
    <t>P1_3_rate12</t>
  </si>
  <si>
    <t>min12</t>
  </si>
  <si>
    <t>P1_3_min12</t>
  </si>
  <si>
    <t>max12</t>
  </si>
  <si>
    <t>P1_3_max12</t>
  </si>
  <si>
    <t>BIT1</t>
  </si>
  <si>
    <t>I1_income</t>
  </si>
  <si>
    <t>P1_4_I1_income</t>
  </si>
  <si>
    <t>inclab_bit1</t>
  </si>
  <si>
    <t>I1_rate1</t>
  </si>
  <si>
    <t>P1_4_I1_rate1</t>
  </si>
  <si>
    <t>CGU regime 1</t>
  </si>
  <si>
    <t>I1_max1</t>
  </si>
  <si>
    <t>P1_4_I1_max1</t>
  </si>
  <si>
    <t>I1_rate2</t>
  </si>
  <si>
    <t>P1_4_I1_rate2</t>
  </si>
  <si>
    <t>I1_max2</t>
  </si>
  <si>
    <t>P1_4_I1_max2</t>
  </si>
  <si>
    <t>I1_rate3</t>
  </si>
  <si>
    <t>P1_4_I1_rate3</t>
  </si>
  <si>
    <t>I1_max3</t>
  </si>
  <si>
    <t>P1_4_I1_max3</t>
  </si>
  <si>
    <t>I1_rate4</t>
  </si>
  <si>
    <t>P1_4_I1_rate4</t>
  </si>
  <si>
    <t>I1_floor_p</t>
  </si>
  <si>
    <t>P1_4_I1_floor_p</t>
  </si>
  <si>
    <t>I1_ceiling</t>
  </si>
  <si>
    <t>P1_4_I1_ceiling</t>
  </si>
  <si>
    <t>BIT2</t>
  </si>
  <si>
    <t>I2_income</t>
  </si>
  <si>
    <t>P1_4_I2_income</t>
  </si>
  <si>
    <t>inclab_bit2</t>
  </si>
  <si>
    <t>I2_rate1</t>
  </si>
  <si>
    <t>P1_4_I2_rate1</t>
  </si>
  <si>
    <t>CGU regime 2</t>
  </si>
  <si>
    <t>I2_max1</t>
  </si>
  <si>
    <t>P1_4_I2_max1</t>
  </si>
  <si>
    <t>I2_rate2</t>
  </si>
  <si>
    <t>P1_4_I2_rate2</t>
  </si>
  <si>
    <t>I2_max2</t>
  </si>
  <si>
    <t>P1_4_I2_max2</t>
  </si>
  <si>
    <t>I2_rate3</t>
  </si>
  <si>
    <t>P1_4_I2_rate3</t>
  </si>
  <si>
    <t>I2_max3</t>
  </si>
  <si>
    <t>P1_4_I2_max3</t>
  </si>
  <si>
    <t>I2_rate4</t>
  </si>
  <si>
    <t>P1_4_I2_rate4</t>
  </si>
  <si>
    <t>I2_floor_p</t>
  </si>
  <si>
    <t>P1_4_I2_floor_p</t>
  </si>
  <si>
    <t>I2_ceiling</t>
  </si>
  <si>
    <t>P1_4_I2_ceiling</t>
  </si>
  <si>
    <t>BIT3</t>
  </si>
  <si>
    <t>I3_income</t>
  </si>
  <si>
    <t>P1_4_I3_income</t>
  </si>
  <si>
    <t>inclab_bit3</t>
  </si>
  <si>
    <t>I3_rate1</t>
  </si>
  <si>
    <t>P1_4_I3_rate1</t>
  </si>
  <si>
    <t>CGU regime 3</t>
  </si>
  <si>
    <t>I3_max1</t>
  </si>
  <si>
    <t>P1_4_I3_max1</t>
  </si>
  <si>
    <t>I3_rate2</t>
  </si>
  <si>
    <t>P1_4_I3_rate2</t>
  </si>
  <si>
    <t>I3_max2</t>
  </si>
  <si>
    <t>P1_4_I3_max2</t>
  </si>
  <si>
    <t>I3_rate3</t>
  </si>
  <si>
    <t>P1_4_I3_rate3</t>
  </si>
  <si>
    <t>I3_max3</t>
  </si>
  <si>
    <t>P1_4_I3_max3</t>
  </si>
  <si>
    <t>I3_rate4</t>
  </si>
  <si>
    <t>P1_4_I3_rate4</t>
  </si>
  <si>
    <t>I3_floor_p</t>
  </si>
  <si>
    <t>P1_4_I3_floor_p</t>
  </si>
  <si>
    <t>I3_ceiling</t>
  </si>
  <si>
    <t>P1_4_I3_ceiling</t>
  </si>
  <si>
    <t>BIT4</t>
  </si>
  <si>
    <t>I4_income</t>
  </si>
  <si>
    <t>P1_4_I4_income</t>
  </si>
  <si>
    <t>cgf_income</t>
  </si>
  <si>
    <t>I4_rate1</t>
  </si>
  <si>
    <t>P1_4_I4_rate1</t>
  </si>
  <si>
    <t>I4_max1</t>
  </si>
  <si>
    <t>P1_4_I4_max1</t>
  </si>
  <si>
    <t>I4_rate2</t>
  </si>
  <si>
    <t>P1_4_I4_rate2</t>
  </si>
  <si>
    <t>I4_max2</t>
  </si>
  <si>
    <t>P1_4_I4_max2</t>
  </si>
  <si>
    <t>I4_rate3</t>
  </si>
  <si>
    <t>P1_4_I4_rate3</t>
  </si>
  <si>
    <t>I4_max3</t>
  </si>
  <si>
    <t>P1_4_I4_max3</t>
  </si>
  <si>
    <t>I4_rate4</t>
  </si>
  <si>
    <t>P1_4_I4_rate4</t>
  </si>
  <si>
    <t>I4_floor_p</t>
  </si>
  <si>
    <t>P1_4_I4_floor_p</t>
  </si>
  <si>
    <t>I4_ceiling</t>
  </si>
  <si>
    <t>P1_4_I4_ceiling</t>
  </si>
  <si>
    <t>PropertyTax1</t>
  </si>
  <si>
    <t>rate</t>
  </si>
  <si>
    <t>P1_5_rate</t>
  </si>
  <si>
    <t>abatement</t>
  </si>
  <si>
    <t>P1_5_abatement</t>
  </si>
  <si>
    <t>P1_6_rate</t>
  </si>
  <si>
    <t>P2</t>
  </si>
  <si>
    <t>SSC</t>
  </si>
  <si>
    <t>Public</t>
  </si>
  <si>
    <t>P2_1_rate</t>
  </si>
  <si>
    <t>max_base</t>
  </si>
  <si>
    <t>P2_1_max_base</t>
  </si>
  <si>
    <t>Private</t>
  </si>
  <si>
    <t>P2_2_rate</t>
  </si>
  <si>
    <t>P2_2_max_base</t>
  </si>
  <si>
    <t>FamilyAlloc</t>
  </si>
  <si>
    <t>P2_3_rate</t>
  </si>
  <si>
    <t>P2_3_max_base</t>
  </si>
  <si>
    <t>RiskInsurance</t>
  </si>
  <si>
    <t>l1_rate</t>
  </si>
  <si>
    <t>P2_4_l1_rate</t>
  </si>
  <si>
    <t>l1_max_base</t>
  </si>
  <si>
    <t>P2_4_l1_max_base</t>
  </si>
  <si>
    <t>l2_rate</t>
  </si>
  <si>
    <t>P2_4_l2_rate</t>
  </si>
  <si>
    <t>l2_max_base</t>
  </si>
  <si>
    <t>P2_4_l2_max_base</t>
  </si>
  <si>
    <t>l3_rate</t>
  </si>
  <si>
    <t>P2_4_l3_rate</t>
  </si>
  <si>
    <t>l3_max_base</t>
  </si>
  <si>
    <t>P2_4_l3_max_base</t>
  </si>
  <si>
    <t xml:space="preserve">Madi </t>
  </si>
  <si>
    <t>P3</t>
  </si>
  <si>
    <t>Indirect Taxes</t>
  </si>
  <si>
    <t>4A</t>
  </si>
  <si>
    <t>Excises</t>
  </si>
  <si>
    <t>ex_1</t>
  </si>
  <si>
    <t>ex_2</t>
  </si>
  <si>
    <t>ex_3</t>
  </si>
  <si>
    <t>ex_4</t>
  </si>
  <si>
    <t>ex_5</t>
  </si>
  <si>
    <t>ex_6</t>
  </si>
  <si>
    <t>ex_7</t>
  </si>
  <si>
    <t>ex_8</t>
  </si>
  <si>
    <t>ex_9</t>
  </si>
  <si>
    <t>ex_10</t>
  </si>
  <si>
    <t>ex_11</t>
  </si>
  <si>
    <t>list</t>
  </si>
  <si>
    <t>codpr_ex_1</t>
  </si>
  <si>
    <t>412</t>
  </si>
  <si>
    <t>108 109 689</t>
  </si>
  <si>
    <t>164 165 197 301 302</t>
  </si>
  <si>
    <t>codpr_ex_2</t>
  </si>
  <si>
    <t>177 179 180</t>
  </si>
  <si>
    <t>715 240 241 242 282 895 896 1026</t>
  </si>
  <si>
    <t>160 162 196</t>
  </si>
  <si>
    <t>codpr_ex_3</t>
  </si>
  <si>
    <t>172</t>
  </si>
  <si>
    <t>730 807 905 1009 626 686</t>
  </si>
  <si>
    <t>155 156</t>
  </si>
  <si>
    <t>codpr_ex_4</t>
  </si>
  <si>
    <t>161 162 163 164 165 166</t>
  </si>
  <si>
    <t>907 561</t>
  </si>
  <si>
    <t>157 180</t>
  </si>
  <si>
    <t>codpr_ex_5</t>
  </si>
  <si>
    <t>134 135 136 137 139 140 145 146 147 148 149 150</t>
  </si>
  <si>
    <t>621 617 14</t>
  </si>
  <si>
    <t>53 54 55 56 57 59 61 62</t>
  </si>
  <si>
    <t>codpr_ex_6</t>
  </si>
  <si>
    <t>160</t>
  </si>
  <si>
    <t>1 2 4 5 15 70</t>
  </si>
  <si>
    <t>36 63 66 67 68 70 175</t>
  </si>
  <si>
    <t>codpr_ex_7</t>
  </si>
  <si>
    <t>codpr_ex_8</t>
  </si>
  <si>
    <t>321 417</t>
  </si>
  <si>
    <t>codpr_ex_9</t>
  </si>
  <si>
    <t>1007 1008 717 718</t>
  </si>
  <si>
    <t>144 145</t>
  </si>
  <si>
    <t>codpr_ex_10</t>
  </si>
  <si>
    <t>963 544</t>
  </si>
  <si>
    <t>501 502 503 504 505 506 521 804 806 616</t>
  </si>
  <si>
    <t>codpr_ex_11</t>
  </si>
  <si>
    <t>408 711 173 633 154 155 104 105 106 107 541</t>
  </si>
  <si>
    <t>elas_ex_1</t>
  </si>
  <si>
    <t>elas_ex_2</t>
  </si>
  <si>
    <t>elas_ex_3</t>
  </si>
  <si>
    <t>elas_ex_4</t>
  </si>
  <si>
    <t>elas_ex_5</t>
  </si>
  <si>
    <t>elas_ex_6</t>
  </si>
  <si>
    <t>elas_ex_7</t>
  </si>
  <si>
    <t>elas_ex_8</t>
  </si>
  <si>
    <t>elas_ex_9</t>
  </si>
  <si>
    <t>elas_ex_10</t>
  </si>
  <si>
    <t>elas_ex_11</t>
  </si>
  <si>
    <t>prod_ex_1</t>
  </si>
  <si>
    <t>alcools</t>
  </si>
  <si>
    <t>Beer</t>
  </si>
  <si>
    <t>Alcohol</t>
  </si>
  <si>
    <t>prod_ex_2</t>
  </si>
  <si>
    <t>tabacs</t>
  </si>
  <si>
    <t>Other non-alcoholic beverages and liquids</t>
  </si>
  <si>
    <t>Boissons</t>
  </si>
  <si>
    <t>prod_ex_3</t>
  </si>
  <si>
    <t>eaux minérales</t>
  </si>
  <si>
    <t>Wine</t>
  </si>
  <si>
    <t>Cafe</t>
  </si>
  <si>
    <t>prod_ex_4</t>
  </si>
  <si>
    <t>sucre</t>
  </si>
  <si>
    <t>Spirit</t>
  </si>
  <si>
    <t>Te</t>
  </si>
  <si>
    <t>prod_ex_5</t>
  </si>
  <si>
    <t>produits laitiers</t>
  </si>
  <si>
    <t>Tobacco</t>
  </si>
  <si>
    <t>Beurre</t>
  </si>
  <si>
    <t>prod_ex_6</t>
  </si>
  <si>
    <t>pâtes alimentaires</t>
  </si>
  <si>
    <t>Cigarettes</t>
  </si>
  <si>
    <t>Autres_corps</t>
  </si>
  <si>
    <t>prod_ex_7</t>
  </si>
  <si>
    <t>Essence/Diesel</t>
  </si>
  <si>
    <t>Wheelbarrow</t>
  </si>
  <si>
    <t>prod_ex_8</t>
  </si>
  <si>
    <t>Gasoil</t>
  </si>
  <si>
    <t>Nails</t>
  </si>
  <si>
    <t>Cosmetiques</t>
  </si>
  <si>
    <t>prod_ex_9</t>
  </si>
  <si>
    <t>Kerosene</t>
  </si>
  <si>
    <t>Sugar Confectionary</t>
  </si>
  <si>
    <t>Bouillons</t>
  </si>
  <si>
    <t>prod_ex_10</t>
  </si>
  <si>
    <t>Soap</t>
  </si>
  <si>
    <t>Textiles</t>
  </si>
  <si>
    <t>prod_ex_11</t>
  </si>
  <si>
    <t>Fats &amp; greasy products</t>
  </si>
  <si>
    <t>n_excises_tax</t>
  </si>
  <si>
    <t>2A</t>
  </si>
  <si>
    <t>VAT</t>
  </si>
  <si>
    <t>informal_reduc_rate</t>
  </si>
  <si>
    <t>sin_beh</t>
  </si>
  <si>
    <t>06. Subsidies</t>
  </si>
  <si>
    <t>P4</t>
  </si>
  <si>
    <t>Electricity</t>
  </si>
  <si>
    <t>g1_name</t>
  </si>
  <si>
    <t>Domestic</t>
  </si>
  <si>
    <t>PDPP</t>
  </si>
  <si>
    <t>g2_name</t>
  </si>
  <si>
    <t>Social</t>
  </si>
  <si>
    <t>PDMP</t>
  </si>
  <si>
    <t>g3_name</t>
  </si>
  <si>
    <t>PDGP</t>
  </si>
  <si>
    <t>g4_name</t>
  </si>
  <si>
    <t>WDPP</t>
  </si>
  <si>
    <t>g5_name</t>
  </si>
  <si>
    <t>WDMP</t>
  </si>
  <si>
    <t>g1_t1</t>
  </si>
  <si>
    <t>g1_m1</t>
  </si>
  <si>
    <t>g1_t2</t>
  </si>
  <si>
    <t>g1_m2</t>
  </si>
  <si>
    <t>g1_t3</t>
  </si>
  <si>
    <t>g1_m3</t>
  </si>
  <si>
    <t>g1_t4</t>
  </si>
  <si>
    <t>g1_m4</t>
  </si>
  <si>
    <t>g1_t5</t>
  </si>
  <si>
    <t>g2_t1</t>
  </si>
  <si>
    <t>g2_m1</t>
  </si>
  <si>
    <t>g2_t2</t>
  </si>
  <si>
    <t>g2_m2</t>
  </si>
  <si>
    <t>g2_t3</t>
  </si>
  <si>
    <t>g2_m3</t>
  </si>
  <si>
    <t>g2_t4</t>
  </si>
  <si>
    <t>g2_m4</t>
  </si>
  <si>
    <t>g2_t5</t>
  </si>
  <si>
    <t>g3_t1</t>
  </si>
  <si>
    <t>g3_m1</t>
  </si>
  <si>
    <t>g3_t2</t>
  </si>
  <si>
    <t>g3_m2</t>
  </si>
  <si>
    <t>g3_t3</t>
  </si>
  <si>
    <t>g3_m3</t>
  </si>
  <si>
    <t>g3_t4</t>
  </si>
  <si>
    <t>g3_m4</t>
  </si>
  <si>
    <t>g3_t5</t>
  </si>
  <si>
    <t>g4_t1</t>
  </si>
  <si>
    <t>g4_m1</t>
  </si>
  <si>
    <t>g4_t2</t>
  </si>
  <si>
    <t>g4_m2</t>
  </si>
  <si>
    <t>g4_t3</t>
  </si>
  <si>
    <t>g4_m3</t>
  </si>
  <si>
    <t>g4_t4</t>
  </si>
  <si>
    <t>g4_m4</t>
  </si>
  <si>
    <t>g4_t5</t>
  </si>
  <si>
    <t>g5_t1</t>
  </si>
  <si>
    <t>g5_m1</t>
  </si>
  <si>
    <t>g5_t2</t>
  </si>
  <si>
    <t>g5_m2</t>
  </si>
  <si>
    <t>g5_t3</t>
  </si>
  <si>
    <t>g5_m3</t>
  </si>
  <si>
    <t>g5_t4</t>
  </si>
  <si>
    <t>g5_m4</t>
  </si>
  <si>
    <t>g5_t5</t>
  </si>
  <si>
    <t>cost_dom</t>
  </si>
  <si>
    <t>cost_prof</t>
  </si>
  <si>
    <t>tprof</t>
  </si>
  <si>
    <t>block_tariffs</t>
  </si>
  <si>
    <t>t_noVAT</t>
  </si>
  <si>
    <t>allcons_VAT</t>
  </si>
  <si>
    <t>elec_weight_IO</t>
  </si>
  <si>
    <t>This should be done in presim as a column that is 1 if codpr=electricity_codpr</t>
  </si>
  <si>
    <t>Fuels</t>
  </si>
  <si>
    <t>gasoline_mp</t>
  </si>
  <si>
    <t>gasoline/petrol/essence</t>
  </si>
  <si>
    <t>gasoline_sp</t>
  </si>
  <si>
    <t>kerosene_mp</t>
  </si>
  <si>
    <t>kerosene/pétrole lampant</t>
  </si>
  <si>
    <t>kerosene_sp</t>
  </si>
  <si>
    <t>diesel_mp</t>
  </si>
  <si>
    <t>diesel/gasoil</t>
  </si>
  <si>
    <t>diesel_sp</t>
  </si>
  <si>
    <t>butane_mp</t>
  </si>
  <si>
    <t>butane/natural gas/LPG even though LPG is different</t>
  </si>
  <si>
    <t>butane_sp</t>
  </si>
  <si>
    <t>pirogue_mp</t>
  </si>
  <si>
    <t>essence pirogue (whenever can be separated)</t>
  </si>
  <si>
    <t>pirogue_sp</t>
  </si>
  <si>
    <t>super_mp</t>
  </si>
  <si>
    <t>super carburant</t>
  </si>
  <si>
    <t>super_sp</t>
  </si>
  <si>
    <t>Water</t>
  </si>
  <si>
    <t>VillesNonAssainies</t>
  </si>
  <si>
    <t>Agric</t>
  </si>
  <si>
    <t>npk</t>
  </si>
  <si>
    <t>g1_subsidy</t>
  </si>
  <si>
    <t>g1_target</t>
  </si>
  <si>
    <t>dap</t>
  </si>
  <si>
    <t>g2_subsidy</t>
  </si>
  <si>
    <t>g2_target</t>
  </si>
  <si>
    <t>uree</t>
  </si>
  <si>
    <t>g3_subsidy</t>
  </si>
  <si>
    <t>g3_target</t>
  </si>
  <si>
    <t>arachide</t>
  </si>
  <si>
    <t>g4_subsidy</t>
  </si>
  <si>
    <t>g4_target</t>
  </si>
  <si>
    <t>sorgho</t>
  </si>
  <si>
    <t>g5_subsidy</t>
  </si>
  <si>
    <t>g5_target</t>
  </si>
  <si>
    <t>g6_name</t>
  </si>
  <si>
    <t>mais</t>
  </si>
  <si>
    <t>g6_subsidy</t>
  </si>
  <si>
    <t>g6_target</t>
  </si>
  <si>
    <t>g7_name</t>
  </si>
  <si>
    <t>niebe</t>
  </si>
  <si>
    <t>g7_subsidy</t>
  </si>
  <si>
    <t>g7_target</t>
  </si>
  <si>
    <t>g8_name</t>
  </si>
  <si>
    <t>sesame</t>
  </si>
  <si>
    <t>g8_subsidy</t>
  </si>
  <si>
    <t>g8_target</t>
  </si>
  <si>
    <t>g9_name</t>
  </si>
  <si>
    <t>riz</t>
  </si>
  <si>
    <t>g9_subsidy</t>
  </si>
  <si>
    <t>g9_target</t>
  </si>
  <si>
    <t>g10_name</t>
  </si>
  <si>
    <t>tubercules</t>
  </si>
  <si>
    <t>g10_subsidy</t>
  </si>
  <si>
    <t>g10_target</t>
  </si>
  <si>
    <t>g11_name</t>
  </si>
  <si>
    <t>pasteque</t>
  </si>
  <si>
    <t>g11_subsidy</t>
  </si>
  <si>
    <t>g11_target</t>
  </si>
  <si>
    <t>g12_name</t>
  </si>
  <si>
    <t>g12_subsidy</t>
  </si>
  <si>
    <t>g12_target</t>
  </si>
  <si>
    <t>g13_name</t>
  </si>
  <si>
    <t>g13_subsidy</t>
  </si>
  <si>
    <t>g13_target</t>
  </si>
  <si>
    <t>Gabriel</t>
  </si>
  <si>
    <t>am_prog</t>
  </si>
  <si>
    <t>n_progs</t>
  </si>
  <si>
    <t>pr_label_1</t>
  </si>
  <si>
    <t>Tekavoul</t>
  </si>
  <si>
    <t>NAFA</t>
  </si>
  <si>
    <t>PNBSF</t>
  </si>
  <si>
    <t>tar_PMT_1</t>
  </si>
  <si>
    <t>pr_type_1</t>
  </si>
  <si>
    <t>hh</t>
  </si>
  <si>
    <t>pr_label_2</t>
  </si>
  <si>
    <t>Cantines</t>
  </si>
  <si>
    <t>tar_PMT_2</t>
  </si>
  <si>
    <t>pr_type_2</t>
  </si>
  <si>
    <t>ind</t>
  </si>
  <si>
    <t>pr_label_3</t>
  </si>
  <si>
    <t>scolarships</t>
  </si>
  <si>
    <t>tar_PMT_3</t>
  </si>
  <si>
    <t>pr_type_3</t>
  </si>
  <si>
    <t>P8</t>
  </si>
  <si>
    <t>data_health</t>
  </si>
  <si>
    <t>mont_health_pc</t>
  </si>
  <si>
    <t>educ</t>
  </si>
  <si>
    <t>data_educ</t>
  </si>
  <si>
    <t>am_educ_tot_1</t>
  </si>
  <si>
    <t>am_educ_tot_2</t>
  </si>
  <si>
    <t>college/secondary</t>
  </si>
  <si>
    <t>am_educ_tot_3</t>
  </si>
  <si>
    <t>am_educ_tot_4</t>
  </si>
  <si>
    <t>am_educ_tot_7</t>
  </si>
  <si>
    <t>Q_primary</t>
  </si>
  <si>
    <t>run_qeduc</t>
  </si>
  <si>
    <t>Q_health</t>
  </si>
  <si>
    <t>run_qhealth</t>
  </si>
  <si>
    <t>Madi</t>
  </si>
  <si>
    <t>ref_ex_alco</t>
  </si>
  <si>
    <t>ref_ex_nalco</t>
  </si>
  <si>
    <t>ref_ex_cafe</t>
  </si>
  <si>
    <t>ref_ex_sugar</t>
  </si>
  <si>
    <t>ref_ex_cig</t>
  </si>
  <si>
    <t xml:space="preserve">The is the combination of both cigarrettes an tobacco. </t>
  </si>
  <si>
    <t>ref_ex_fats</t>
  </si>
  <si>
    <t>ref_ex_dairy</t>
  </si>
  <si>
    <t>ref_ex_cos</t>
  </si>
  <si>
    <t>ref_ex_textiles</t>
  </si>
  <si>
    <t>ref_ex_cement</t>
  </si>
  <si>
    <t>ref_ex_cons</t>
  </si>
  <si>
    <t>ref_ex_broths</t>
  </si>
  <si>
    <t>ref_ex_gasoline</t>
  </si>
  <si>
    <t>ref_ex_diesel</t>
  </si>
  <si>
    <t>madi</t>
  </si>
  <si>
    <t>ref_ex_other</t>
  </si>
  <si>
    <t>ref_ex_kerosene</t>
  </si>
  <si>
    <t>sin_ex_alco</t>
  </si>
  <si>
    <t>sin_ex_nalco</t>
  </si>
  <si>
    <t>sin_ex_cafe</t>
  </si>
  <si>
    <t>sin_ex_sugar</t>
  </si>
  <si>
    <t>sin_ex_cig</t>
  </si>
  <si>
    <t>sin_ex_fats</t>
  </si>
  <si>
    <t>sin_ex_dairy</t>
  </si>
  <si>
    <t>sin_ex_cos</t>
  </si>
  <si>
    <t>sin_ex_textiles</t>
  </si>
  <si>
    <t>sin_ex_cement</t>
  </si>
  <si>
    <t>sin_ex_cons</t>
  </si>
  <si>
    <t>sin_ex_broths</t>
  </si>
  <si>
    <t>sin_ex_gasoline</t>
  </si>
  <si>
    <t>sin_ex_kerosene</t>
  </si>
  <si>
    <t>sin_ex_diesel</t>
  </si>
  <si>
    <t>sin_ex_other</t>
  </si>
  <si>
    <t>elas_ex_alco</t>
  </si>
  <si>
    <t>elas_ex_nalco</t>
  </si>
  <si>
    <t>elas_ex_cafe</t>
  </si>
  <si>
    <t>elas_ex_sugar</t>
  </si>
  <si>
    <t>elas_ex_cig</t>
  </si>
  <si>
    <t>elas_ex_fats</t>
  </si>
  <si>
    <t>elas_ex_dairy</t>
  </si>
  <si>
    <t>elas_ex_cos</t>
  </si>
  <si>
    <t>elas_ex_textiles</t>
  </si>
  <si>
    <t>elas_ex_cement</t>
  </si>
  <si>
    <t>elas_ex_cons</t>
  </si>
  <si>
    <t>elas_ex_broths</t>
  </si>
  <si>
    <t>elas_ex_gasoline</t>
  </si>
  <si>
    <t>elas_ex_diesel</t>
  </si>
  <si>
    <t>elas_ex_kerosene</t>
  </si>
  <si>
    <t>sin_tax</t>
  </si>
  <si>
    <t>elas_ex_other</t>
  </si>
  <si>
    <t>policy</t>
  </si>
  <si>
    <t>count</t>
  </si>
  <si>
    <t>loc_MRT</t>
  </si>
  <si>
    <t>lab_MRT</t>
  </si>
  <si>
    <t>ben_MRT</t>
  </si>
  <si>
    <t>mont_MRT</t>
  </si>
  <si>
    <t>loc_SEN</t>
  </si>
  <si>
    <t>lab_SEN</t>
  </si>
  <si>
    <t>ben_SEN</t>
  </si>
  <si>
    <t>mont_SEN</t>
  </si>
  <si>
    <t>loc_GMB</t>
  </si>
  <si>
    <t>lab_GMB</t>
  </si>
  <si>
    <t>ben_GMB</t>
  </si>
  <si>
    <t>mont_GMB</t>
  </si>
  <si>
    <t>Hodh charghy</t>
  </si>
  <si>
    <t>Dakar</t>
  </si>
  <si>
    <t>Banjul South</t>
  </si>
  <si>
    <t>Hodh Gharby</t>
  </si>
  <si>
    <t>Ziguinchor</t>
  </si>
  <si>
    <t>Banjul Central</t>
  </si>
  <si>
    <t>Assaba</t>
  </si>
  <si>
    <t>Diourbel</t>
  </si>
  <si>
    <t>Banjul North</t>
  </si>
  <si>
    <t>Gorgol</t>
  </si>
  <si>
    <t>Saint-Louis</t>
  </si>
  <si>
    <t>Bakau</t>
  </si>
  <si>
    <t>Brakna</t>
  </si>
  <si>
    <t>Tambacounda</t>
  </si>
  <si>
    <t>New Jeshwang</t>
  </si>
  <si>
    <t>Trarza</t>
  </si>
  <si>
    <t>Kaolack</t>
  </si>
  <si>
    <t>Sere Kunda Central</t>
  </si>
  <si>
    <t>Adrar</t>
  </si>
  <si>
    <t>Thies</t>
  </si>
  <si>
    <t>Sere Kunda East</t>
  </si>
  <si>
    <t>Dakhlett Nouadibou</t>
  </si>
  <si>
    <t>Louga</t>
  </si>
  <si>
    <t>Sere Kunda West</t>
  </si>
  <si>
    <t>Tagant</t>
  </si>
  <si>
    <t>Fatick</t>
  </si>
  <si>
    <t>Jimara</t>
  </si>
  <si>
    <t>Guidimagha</t>
  </si>
  <si>
    <t>Kolda</t>
  </si>
  <si>
    <t>Basse</t>
  </si>
  <si>
    <t>Tirs-ezemour</t>
  </si>
  <si>
    <t>Matam</t>
  </si>
  <si>
    <t>Tumana</t>
  </si>
  <si>
    <t>Inchiri</t>
  </si>
  <si>
    <t>Kaffrine</t>
  </si>
  <si>
    <t>Kantora</t>
  </si>
  <si>
    <t>Nouakchott</t>
  </si>
  <si>
    <t>Kedougou</t>
  </si>
  <si>
    <t>Wuli West</t>
  </si>
  <si>
    <t>Sedhiou</t>
  </si>
  <si>
    <t>Wuli East</t>
  </si>
  <si>
    <t>Sandu</t>
  </si>
  <si>
    <t>Kombo North</t>
  </si>
  <si>
    <t>Kombo South</t>
  </si>
  <si>
    <t>Kombo Central</t>
  </si>
  <si>
    <t>Kombo East</t>
  </si>
  <si>
    <t>Foni Brefet</t>
  </si>
  <si>
    <t>Foni Bintang Karanai</t>
  </si>
  <si>
    <t>Foni Bondali</t>
  </si>
  <si>
    <t>Foni Kansala</t>
  </si>
  <si>
    <t>Foni Jarrol</t>
  </si>
  <si>
    <t>Niamina West</t>
  </si>
  <si>
    <t>Niamina Dankunku</t>
  </si>
  <si>
    <t>Lower Fuladu West</t>
  </si>
  <si>
    <t>Niamina East</t>
  </si>
  <si>
    <t>Upper Fuladu West</t>
  </si>
  <si>
    <t>Janjanbureh</t>
  </si>
  <si>
    <t>Lower Niumi</t>
  </si>
  <si>
    <t>Upper Niumi</t>
  </si>
  <si>
    <t>Jokadu</t>
  </si>
  <si>
    <t>Lower Badibu</t>
  </si>
  <si>
    <t>Central Badibu</t>
  </si>
  <si>
    <t>Illiasa</t>
  </si>
  <si>
    <t>Sabach Sanjar</t>
  </si>
  <si>
    <t>Nianija</t>
  </si>
  <si>
    <t>Upper Saloum</t>
  </si>
  <si>
    <t>Lower Saloum</t>
  </si>
  <si>
    <t>Niani</t>
  </si>
  <si>
    <t>Sami</t>
  </si>
  <si>
    <t>Kiang West</t>
  </si>
  <si>
    <t>Kiang Central</t>
  </si>
  <si>
    <t>Kiang East</t>
  </si>
  <si>
    <t>Jarra West</t>
  </si>
  <si>
    <t>Jarra Central</t>
  </si>
  <si>
    <t>Jarra East</t>
  </si>
  <si>
    <t>Banjul</t>
  </si>
  <si>
    <t>Kanifing</t>
  </si>
  <si>
    <t>Brikama</t>
  </si>
  <si>
    <t>Mansakonko</t>
  </si>
  <si>
    <t>Kerewan</t>
  </si>
  <si>
    <t>Kuntaur</t>
  </si>
  <si>
    <t>Janjangbureh</t>
  </si>
  <si>
    <t>amount</t>
  </si>
  <si>
    <t>directtransfers.do</t>
  </si>
  <si>
    <t>Direct Transfers</t>
  </si>
  <si>
    <t>Auxiliar</t>
  </si>
  <si>
    <t>Programa 1</t>
  </si>
  <si>
    <t>Programa 2</t>
  </si>
  <si>
    <t>Programa 3</t>
  </si>
  <si>
    <t>Programa 4</t>
  </si>
  <si>
    <t>3A</t>
  </si>
  <si>
    <t>VAT. Direct</t>
  </si>
  <si>
    <t>3B</t>
  </si>
  <si>
    <t>VAT. Indirect</t>
  </si>
  <si>
    <t>P5</t>
  </si>
  <si>
    <t>Indirect Subsidies</t>
  </si>
  <si>
    <t>1A</t>
  </si>
  <si>
    <t>Electricidad</t>
  </si>
  <si>
    <t>1B</t>
  </si>
  <si>
    <t>2B</t>
  </si>
  <si>
    <t>P6</t>
  </si>
  <si>
    <t>Inkind Transfers</t>
  </si>
  <si>
    <t>codpr</t>
  </si>
  <si>
    <t>Name</t>
  </si>
  <si>
    <t>vatrate_</t>
  </si>
  <si>
    <t>vatexem_</t>
  </si>
  <si>
    <t>cdimp_</t>
  </si>
  <si>
    <t>vatelas_</t>
  </si>
  <si>
    <t>sector_</t>
  </si>
  <si>
    <t>vatform_</t>
  </si>
  <si>
    <t>cdrate_</t>
  </si>
  <si>
    <t>percent_</t>
  </si>
  <si>
    <t>Riz local brisé</t>
  </si>
  <si>
    <t>Riz local entier</t>
  </si>
  <si>
    <t>Riz importé brisé</t>
  </si>
  <si>
    <t>Riz importé entier</t>
  </si>
  <si>
    <t>Maïs en épi</t>
  </si>
  <si>
    <t>Maïs en grain</t>
  </si>
  <si>
    <t>Mil</t>
  </si>
  <si>
    <t>Sorgho</t>
  </si>
  <si>
    <t>Blé</t>
  </si>
  <si>
    <t>Fonio</t>
  </si>
  <si>
    <t>Autres céréales</t>
  </si>
  <si>
    <t>Farine de maïs</t>
  </si>
  <si>
    <t>semoule de mais</t>
  </si>
  <si>
    <t>Farine de mil</t>
  </si>
  <si>
    <t>semoule de mil</t>
  </si>
  <si>
    <t>Farine de blé local ou importé</t>
  </si>
  <si>
    <t>semoule de blé</t>
  </si>
  <si>
    <t>Autres farines de céréales</t>
  </si>
  <si>
    <t>Autres semoules de céréales</t>
  </si>
  <si>
    <t>Pâtes alimentaires</t>
  </si>
  <si>
    <t>Pain moderne</t>
  </si>
  <si>
    <t>Pain traditionnel</t>
  </si>
  <si>
    <t>Croissants</t>
  </si>
  <si>
    <t>Biscuits</t>
  </si>
  <si>
    <t>Gâteaux</t>
  </si>
  <si>
    <t>Beignets, galettes</t>
  </si>
  <si>
    <t>Viande de bœuf</t>
  </si>
  <si>
    <t>Viande de mouton</t>
  </si>
  <si>
    <t>Viande de chèvre</t>
  </si>
  <si>
    <t>Abats rouges (foie, rognon,  poumon,  cœur, rate, etc.)</t>
  </si>
  <si>
    <t>Viande de porc</t>
  </si>
  <si>
    <t>Poulet sur pied</t>
  </si>
  <si>
    <t>Viande de poulet</t>
  </si>
  <si>
    <t>Viande d'autres volailles domestiques</t>
  </si>
  <si>
    <t>Charcuterie (jambon, saucisson), conserves de viandes</t>
  </si>
  <si>
    <t>Viande séchée (boeuf, mouton, chameau)</t>
  </si>
  <si>
    <t>Gibiers</t>
  </si>
  <si>
    <t>Autres viandes non-déclarées ailleurs</t>
  </si>
  <si>
    <t>Poisson frais yaboye ou obo (sardinelle)</t>
  </si>
  <si>
    <t>Poisson frais thiof/ seudeu (baracouda)</t>
  </si>
  <si>
    <t>Poisson frais wass</t>
  </si>
  <si>
    <t>Autre Poisson frais (dorade, youfouf, rouget, siket [capitaine], thiarumbekh [mollette], …..)</t>
  </si>
  <si>
    <t>Poisson fumé Kethiakh (sardinelle)</t>
  </si>
  <si>
    <t>Autre Poisson fumé (yaboye ou obo fumé, …)</t>
  </si>
  <si>
    <t>Poisson séché</t>
  </si>
  <si>
    <t>Crabes</t>
  </si>
  <si>
    <t>Crevettes fraiches</t>
  </si>
  <si>
    <t>Crevettes séchées</t>
  </si>
  <si>
    <t>Autres fruits de mer</t>
  </si>
  <si>
    <t>Conserves de poisson</t>
  </si>
  <si>
    <t>Lait frais industriel (Bridel, Vitalait, etc.)</t>
  </si>
  <si>
    <t>Lait caillé, yaourt</t>
  </si>
  <si>
    <t>Lait concentré sucré</t>
  </si>
  <si>
    <t>Lait concentré non-sucré</t>
  </si>
  <si>
    <t>Lait en poudre</t>
  </si>
  <si>
    <t>Fromage</t>
  </si>
  <si>
    <t>Lait et farines pour bébé</t>
  </si>
  <si>
    <t>Autres produits laitiers</t>
  </si>
  <si>
    <t>Œufs</t>
  </si>
  <si>
    <t>Beurre de karité</t>
  </si>
  <si>
    <t>Huile de palme rouge</t>
  </si>
  <si>
    <t>Huile d'arachide raffinée</t>
  </si>
  <si>
    <t>Huile d'arachide 'Segal'</t>
  </si>
  <si>
    <t>Huile de soja</t>
  </si>
  <si>
    <t>Huile de coton</t>
  </si>
  <si>
    <t>Huile de palme raffinée</t>
  </si>
  <si>
    <t>Noix de palme</t>
  </si>
  <si>
    <t>Autres huiles n.d.a. (maïs, huile palmiste, huile d'olive, huile de tournesol, huile de lait de vache etc.)</t>
  </si>
  <si>
    <t>Mangue</t>
  </si>
  <si>
    <t>Ananas</t>
  </si>
  <si>
    <t>Orange</t>
  </si>
  <si>
    <t>Citrons</t>
  </si>
  <si>
    <t>Autres agrumes (mandarine, pamplemousse, etc.)</t>
  </si>
  <si>
    <t>Banane douce</t>
  </si>
  <si>
    <t>Avocats</t>
  </si>
  <si>
    <t>Pastèque</t>
  </si>
  <si>
    <t>Melon</t>
  </si>
  <si>
    <t>Dattes</t>
  </si>
  <si>
    <t>Noix de coco</t>
  </si>
  <si>
    <t>Canne à sucre</t>
  </si>
  <si>
    <t>Pommes</t>
  </si>
  <si>
    <t>Papaye</t>
  </si>
  <si>
    <t>Fruit de baobab (bouye)</t>
  </si>
  <si>
    <t>Néré</t>
  </si>
  <si>
    <t>Autres fruits (tamarin noir, liane sauvage, raisin, fraise, pomme sauvage, etc.)</t>
  </si>
  <si>
    <t>Salade (laitue)</t>
  </si>
  <si>
    <t>Choux</t>
  </si>
  <si>
    <t>Carotte</t>
  </si>
  <si>
    <t>Haricot vert</t>
  </si>
  <si>
    <t>Concombre</t>
  </si>
  <si>
    <t>Aubergine,</t>
  </si>
  <si>
    <t>Courge/Courgette</t>
  </si>
  <si>
    <t>Poivron frais</t>
  </si>
  <si>
    <t>Tomate fraîche</t>
  </si>
  <si>
    <t>Tomate séchée</t>
  </si>
  <si>
    <t>Gombo frais</t>
  </si>
  <si>
    <t>Gombo sec</t>
  </si>
  <si>
    <t>Oignon frais</t>
  </si>
  <si>
    <t>Ail</t>
  </si>
  <si>
    <t>Feuilles d'oseille (bissap)</t>
  </si>
  <si>
    <t>Feuilles de baobab/ 'laalo'</t>
  </si>
  <si>
    <t>Feuilles de haricot/ 'niébé'</t>
  </si>
  <si>
    <t>Feuilles nébédaye (moringa)</t>
  </si>
  <si>
    <t>Autres légumes en feuilles</t>
  </si>
  <si>
    <t>Autre légumes frais n.d.a</t>
  </si>
  <si>
    <t>Concentré de tomate</t>
  </si>
  <si>
    <t>Petits pois</t>
  </si>
  <si>
    <t>Petit pois secs</t>
  </si>
  <si>
    <t>Autres légumes secs n.d.a</t>
  </si>
  <si>
    <t>Niébé/Haricots secs</t>
  </si>
  <si>
    <t>Arachides fraîches en coques</t>
  </si>
  <si>
    <t>Arachides séchées en coques</t>
  </si>
  <si>
    <t>Arachides décortiquées</t>
  </si>
  <si>
    <t>Arachides pilées</t>
  </si>
  <si>
    <t>Arachide grillée</t>
  </si>
  <si>
    <t>Pâte d'arachide</t>
  </si>
  <si>
    <t>Fromage à base de soja</t>
  </si>
  <si>
    <t>Sésame</t>
  </si>
  <si>
    <t>Noix de cajou</t>
  </si>
  <si>
    <t>Noix de karité</t>
  </si>
  <si>
    <t>Manioc</t>
  </si>
  <si>
    <t>Igname</t>
  </si>
  <si>
    <t>Plantain</t>
  </si>
  <si>
    <t>Pomme de terre</t>
  </si>
  <si>
    <t>Taro, macabo</t>
  </si>
  <si>
    <t>Patate douce</t>
  </si>
  <si>
    <t>Autres tubercules n.d.a</t>
  </si>
  <si>
    <t>Farines de manioc</t>
  </si>
  <si>
    <t>Gari, tapioca</t>
  </si>
  <si>
    <t>Attiéke</t>
  </si>
  <si>
    <t>Fruit de Kapokier</t>
  </si>
  <si>
    <t>Sucre poudre</t>
  </si>
  <si>
    <t>Sucre morceaux</t>
  </si>
  <si>
    <t>Miel</t>
  </si>
  <si>
    <t>Chocolat à croquer, pâte à tartiner</t>
  </si>
  <si>
    <t>Caramel, bonbons, confiseries, etc</t>
  </si>
  <si>
    <t>Sel</t>
  </si>
  <si>
    <t>Piment séché</t>
  </si>
  <si>
    <t>Piment frais</t>
  </si>
  <si>
    <t>Gingembre frais</t>
  </si>
  <si>
    <t>Gingembre moulu</t>
  </si>
  <si>
    <t>Cube alimentaire (Maggi, Jumbo, )</t>
  </si>
  <si>
    <t>Arôme (Maggi, Jumbo, etc.)</t>
  </si>
  <si>
    <t>Soumbala (nététou)</t>
  </si>
  <si>
    <t>Mayonnaise</t>
  </si>
  <si>
    <t>Vinaigre de citron</t>
  </si>
  <si>
    <t>Autres vinaigres</t>
  </si>
  <si>
    <t>Moutarde</t>
  </si>
  <si>
    <t>Poivre</t>
  </si>
  <si>
    <t>Autres condiments (laurier etc.)</t>
  </si>
  <si>
    <t>Noix de cola</t>
  </si>
  <si>
    <t>Autres produits alimentaires (noix de pomme sauvage)</t>
  </si>
  <si>
    <t>Café en poudre</t>
  </si>
  <si>
    <t>Café soluble</t>
  </si>
  <si>
    <t>Thé (Ataya)</t>
  </si>
  <si>
    <t>Chocolat en poudre</t>
  </si>
  <si>
    <t>Autres tisanes et infusions n.d.a. (quinquelibat, citronelle, etc.)</t>
  </si>
  <si>
    <t>Jus de fruits (orange, bissap, gingembre, jus de cajou,etc.)</t>
  </si>
  <si>
    <t>Eau minérale/ filtrée</t>
  </si>
  <si>
    <t>Boissons gazeuses (coca, etc.)</t>
  </si>
  <si>
    <t>Jus en poudre</t>
  </si>
  <si>
    <t>Bières et vins traditionnels (dolo, vin de palme, vin de raphia, vin de cajou, etc.)</t>
  </si>
  <si>
    <t>Bières industrielles</t>
  </si>
  <si>
    <t>Céréales de petit déjeuner</t>
  </si>
  <si>
    <t>Abats blancs (pieds, tête, etc.) et tripes (estomac, intestins, etc.)</t>
  </si>
  <si>
    <t>Autre volaille sur pied</t>
  </si>
  <si>
    <t>Con fumé</t>
  </si>
  <si>
    <t>Escargots</t>
  </si>
  <si>
    <t>Lait frais non industriel (méwou rate non fermenté)</t>
  </si>
  <si>
    <t>Huile de karité</t>
  </si>
  <si>
    <t>Goyave</t>
  </si>
  <si>
    <t>Champignon frais</t>
  </si>
  <si>
    <t>Pâte de manioc</t>
  </si>
  <si>
    <t>Poisson séché en condiment</t>
  </si>
  <si>
    <t>Thé soluble ou infusion</t>
  </si>
  <si>
    <t>Petit déjeuner hors menage</t>
  </si>
  <si>
    <t>Déjeuner hors menage</t>
  </si>
  <si>
    <t>Dîner hors ménage</t>
  </si>
  <si>
    <t>Collation hors ménage</t>
  </si>
  <si>
    <t>Boissons chaudes hors ménage</t>
  </si>
  <si>
    <t>Boisson non alcoolisée hors ménage</t>
  </si>
  <si>
    <t>Boisson alcoolisée hors ménage</t>
  </si>
  <si>
    <t>Cigarettes, Tabac</t>
  </si>
  <si>
    <t>Pétrole lampant</t>
  </si>
  <si>
    <t>Charbon de bois/Charbon minéral</t>
  </si>
  <si>
    <t>Bois de chauffe acheté</t>
  </si>
  <si>
    <t>Bois de chauffe ramassé (estimer la valeur)</t>
  </si>
  <si>
    <t>Bougies</t>
  </si>
  <si>
    <t>Allumettes</t>
  </si>
  <si>
    <t>Carburant pour véhicule</t>
  </si>
  <si>
    <t>Carburant pour motocyclette</t>
  </si>
  <si>
    <t>Transport urbain en taxi</t>
  </si>
  <si>
    <t>Transport urbain en bus</t>
  </si>
  <si>
    <t>Transport urbain/rural en moto-taxi</t>
  </si>
  <si>
    <t>Transport urbain en train</t>
  </si>
  <si>
    <t>Transport urbain/rural par voie fluviale</t>
  </si>
  <si>
    <t>Transport urbain/rural par traction animale</t>
  </si>
  <si>
    <t>Journaux</t>
  </si>
  <si>
    <t>Frais de mouture des céréales</t>
  </si>
  <si>
    <t>Whisky et autres liqueurs</t>
  </si>
  <si>
    <t>Vins modernes</t>
  </si>
  <si>
    <t>Gaz domestique</t>
  </si>
  <si>
    <t>Carburant pour groupe electrogène à usage domestique</t>
  </si>
  <si>
    <t>Piles électriques,</t>
  </si>
  <si>
    <t>Savon de ménage, lessive en poudre, détergents (eau de javel, etc.)</t>
  </si>
  <si>
    <t>Insecticide, tortillon anti-moustique</t>
  </si>
  <si>
    <t>Salaire du personnel de maison (gardien, boy, chauffeur, cuisinier, etc.)</t>
  </si>
  <si>
    <t>Frais de blanchiment des vêtements, linge, etc. (Pressing)</t>
  </si>
  <si>
    <t>Frais de ramassage des ordures ménagères</t>
  </si>
  <si>
    <t>Lavage de véhicules</t>
  </si>
  <si>
    <t>Frais de parking</t>
  </si>
  <si>
    <t>Frais de communication téléphonique dans une cabine/ télécentre</t>
  </si>
  <si>
    <t>Billet de loterie nationale, billet de PMU et tout autre pari sportif</t>
  </si>
  <si>
    <t>Revues, journal ou magazine mensuel etc</t>
  </si>
  <si>
    <t>Frais de coiffure homme et femme (salon, tressage, mèches, coupe, etc.), manucure, pédicure</t>
  </si>
  <si>
    <t>Savon de toilette, shampoing</t>
  </si>
  <si>
    <t>Pâte dentifrice</t>
  </si>
  <si>
    <t>Papier toilette</t>
  </si>
  <si>
    <t>Serviettes hygiéniques, couches jetables pour bébé, etc</t>
  </si>
  <si>
    <t>Lait, lotion de toilette corporelle (glycérine, vaseline, etc.), produits de maquillage</t>
  </si>
  <si>
    <t>Masque facial jetable  contre le COVID-19</t>
  </si>
  <si>
    <t>Gel hydro-alcoolique</t>
  </si>
  <si>
    <t>Autres produits de toilettes (rasoir, coton, crème/mousse à raser etc.)</t>
  </si>
  <si>
    <t>Loyer maison</t>
  </si>
  <si>
    <t>Facture eau courante</t>
  </si>
  <si>
    <t>Eau aupres revendeur</t>
  </si>
  <si>
    <t>Facture electricite</t>
  </si>
  <si>
    <t>Facture telephone fixe</t>
  </si>
  <si>
    <t>Facture internet</t>
  </si>
  <si>
    <t>Facture abonnement cable</t>
  </si>
  <si>
    <t>Recharge telephone mobile</t>
  </si>
  <si>
    <t>Frais d'entretien et de réparation de chaussures: cirage, ressemelage, etc</t>
  </si>
  <si>
    <t>Ampoules électriques pour le logement</t>
  </si>
  <si>
    <t>Lubrifiants (huile moteur; huile de frein; liquide batterie (acide); graisses; autres lubrifiants n.d.a.)</t>
  </si>
  <si>
    <t>Services de réparation et d'entretien (vidange, graissage, etc.) de moyens de transport personnel (voitures, motos, bicyclette, etc.)</t>
  </si>
  <si>
    <t>Transport inter-localité par voitures</t>
  </si>
  <si>
    <t>Transport inter-localité à traction animale</t>
  </si>
  <si>
    <t>Transport  interlocalité par eau (bateau, pirogue, pinasse)</t>
  </si>
  <si>
    <t>Frais de timbre postaux, d'expédition de mandat, etc</t>
  </si>
  <si>
    <t>Frais d'envoi de fax</t>
  </si>
  <si>
    <t>Produits pour le jardinage (plantes et fleurs ornementales), pas pour l'agriculture</t>
  </si>
  <si>
    <t>Aliments, frais d'entretien, frais de vétérinaire des animaux de compagnie (chiens, chats, etc.)</t>
  </si>
  <si>
    <t>Droit d'entrée (achat d'un ticket) à des manifestations sportives</t>
  </si>
  <si>
    <t>Droit d'entrée (achat d'un ticket) pour cinéma, concert, pièce de théâtre, musée, expositions, etc</t>
  </si>
  <si>
    <t>Autres services récréatifs: services de photographe (développement, tirage), photo d'identité, etc</t>
  </si>
  <si>
    <t>Masque facial lavable contre le COVID-19</t>
  </si>
  <si>
    <t>Médicaments achetés en pharmacie sans ordonnance: alcool, pansements, paracétamol, médicaments les affections courantes (paludisme, toux, rhume, diarrhée/disenterie, vers intestinaux, etc.)</t>
  </si>
  <si>
    <t>Parfums</t>
  </si>
  <si>
    <t>Brosse à dents</t>
  </si>
  <si>
    <t>Contraceptifs</t>
  </si>
  <si>
    <t>Frais de photocopies de document</t>
  </si>
  <si>
    <t>Ticket de peage et assimilé</t>
  </si>
  <si>
    <t>Tissus d'habillement: tissus pagne, tissu pagne du tisserand, tissu synthétique, etc</t>
  </si>
  <si>
    <t>Vêtements femmes (15 ans et plus): robe, jupe, pantalon, ensemble, etc</t>
  </si>
  <si>
    <t>Sous-vêtements femme (15 ans et plus): slip, jupon, tee shirt,soutien gorge, collant, etc</t>
  </si>
  <si>
    <t>Vêtements enfants (0-14 ans): layette pour bébé, chemise, pantalon garçon, robe fillette, slip enfant, blouses, etc. (Pas inclure les uniformes scolaires)</t>
  </si>
  <si>
    <t>Vêtements hommes (15 ans et plus): chemise, pantalon, veste, ensemble, vêtements de travail, etc</t>
  </si>
  <si>
    <t>Sous-vêtements homme (15 ans et plus): slip, chaussettes, tee shirt et maillot de corps, etc</t>
  </si>
  <si>
    <t>Frais de confection et de réparation de vêtements homme: ensemble, pantalon, chemise, réparation, location vêtemen</t>
  </si>
  <si>
    <t>Frais de confection et de réparation de vêtements femme: robe, pantalon, jupe, ensemble, réparation, location, etc</t>
  </si>
  <si>
    <t>Frais de confection et de réparation de vêtements enfants</t>
  </si>
  <si>
    <t>Chaussures hommes</t>
  </si>
  <si>
    <t>Chaussures femmes</t>
  </si>
  <si>
    <t>Chaussures enfants</t>
  </si>
  <si>
    <t>Habits/chauss. fêtes</t>
  </si>
  <si>
    <t>Matériel pour l'entretien et les petites réparations du logement</t>
  </si>
  <si>
    <t>Main-d'oeuvre et services d'entretien et de réparation courante du logement  (vidange fosse septique,main d'œuvre pour l'entretien du logement</t>
  </si>
  <si>
    <t>Matériaux de maçonnerie pour la construction ou les grosses réparations de logement: ciment, briques, fer à béton, sable, gravier, parpaings,</t>
  </si>
  <si>
    <t>Autres matériaux pour la construction ou les grosses réparations de logement: tôles, bois de charpente, planches, lattes, contre-plaqués, matériaux d'électricité,  plomberie, peinture, carreaux, tapis</t>
  </si>
  <si>
    <t>Main-d'oeuvre pour la construction et les grosses réparation de logement (maçonnerie, toiture et charpente, électricité, plomberi</t>
  </si>
  <si>
    <t>Frais pour creuser ee, menuiseriet aménager un puits ou pour construire un forage</t>
  </si>
  <si>
    <t>Frais d'acquisition d'un terrain ou d'un logement</t>
  </si>
  <si>
    <t>Frais d'études et d'architecte</t>
  </si>
  <si>
    <t>Frais d'abonnement au réseau de distribution d'eau</t>
  </si>
  <si>
    <t>Frais d'abonnement au réseau de distribution d'électricité</t>
  </si>
  <si>
    <t>Frais de connexion au réseau de distribution d'eau</t>
  </si>
  <si>
    <t>Frais de connexion au réseau de distribution d'électricité</t>
  </si>
  <si>
    <t>Meubles de salon et de salle à manger (fauteuils, table, chaises, armoires, etc.)</t>
  </si>
  <si>
    <t>Lit, matelas, armoire et autres meubles de chambre à coucher</t>
  </si>
  <si>
    <t>Réparation de meubles (fauteuils, chaises, lits, armoires, etc.)</t>
  </si>
  <si>
    <t>Linge de maison et articles associés (serviettes de bain, drap, couverture, couvre-lit, oreillers, moustiquaire, nattes, tapis, rideaux, éventail</t>
  </si>
  <si>
    <t>Appareils électro-ménagers: frigo, climatiseurs, réchaud, four, cuisinière, lave-linge, chauffe-eau, fer à repasser,</t>
  </si>
  <si>
    <t>Plaque solaire</t>
  </si>
  <si>
    <t>Batterie pour plaque solaire et autre équipement/matériel pour installation solaire</t>
  </si>
  <si>
    <t>Réparation d'appareils électro-ménagers (fer à repasser, frigo, cuisinière, four, réchaud, climatiseur, ventilateur, chauffe-eau</t>
  </si>
  <si>
    <t>Vaisselle: assiettes, couteau, fourchette, cuillère, gobelets, verres,</t>
  </si>
  <si>
    <t>Ustensiles de cuisine: casserole, marmite, tamis local, réparation d'ustensiles de cuisine</t>
  </si>
  <si>
    <t>Autres ustensiles de ménage: seau, bouilloire, biberon, poubelle, tasses, cafétière non électrique, théière, calebasse, louche, jarre, canari,mortier, pilon</t>
  </si>
  <si>
    <t>Outillage de maison: outils de bricolage (marteau, tournevis, etc.); outil de jardinage</t>
  </si>
  <si>
    <t>Lampes électriques, lampes tempêtes, torches</t>
  </si>
  <si>
    <t>Achat d'une voiture pour usage personnel</t>
  </si>
  <si>
    <t>Achat d'un motocycle (vélo, moto) pour usage personnel</t>
  </si>
  <si>
    <t>Pièces détachées de moyens de transport individuel: pneu, batterie, bougie, carburateur, etc</t>
  </si>
  <si>
    <t>Frais d'assurance d'un moyen de transport individuel (auto, moto, etc.), assurance de voyage</t>
  </si>
  <si>
    <t>Vignette automobile/ moto</t>
  </si>
  <si>
    <t>Location d'un véhicule pour usage personnel: voiture, moto/vélo, etc</t>
  </si>
  <si>
    <t>Transport inter-urbain en train dans le pays et à l'étranger</t>
  </si>
  <si>
    <t>Transport en avion dans le pays et à l'étranger</t>
  </si>
  <si>
    <t>Frais de déménagement</t>
  </si>
  <si>
    <t>Frais de visa, taxes d'aéroport</t>
  </si>
  <si>
    <t>Achat d'un téléphone portable</t>
  </si>
  <si>
    <t>Appareils de musique et d'images: radio, radio-cassette, chaîne de musique, TV, lecteur CD/DVD, MP3, MP4, caméra, camescope</t>
  </si>
  <si>
    <t>Ordinateur, imprimante, tablette,machine à écrire, etc</t>
  </si>
  <si>
    <t>Réparation d'appareils électroniques: radio, radio-cassettes, TV, camera, lecteur CD/DVD, ordinateur,</t>
  </si>
  <si>
    <t>Petit matériel électronique à usage personnel: cassettes, CD/DVD, clé USB, encre pour imprimante, papier d'impression photos, pellicule photos,</t>
  </si>
  <si>
    <t>Articles de sport et de détente: ballon, jeu ludo, poids (pétanque), jeu de carte, jouets pour enfants, jeux vidéo, petits instruments de musique, etc</t>
  </si>
  <si>
    <t>Livres non scolaires, bande dessinée</t>
  </si>
  <si>
    <t>Papier rame, enveloppes, articles de dessin (pinceaux, papier, peinture etc.),</t>
  </si>
  <si>
    <t>Frais de pélérinage</t>
  </si>
  <si>
    <t>Formation professionnelle (en particulier directement auprès des ateliers, maîtres,</t>
  </si>
  <si>
    <t>Frais de cours particuliers pour adultes (alphabétisation) et personnes non scolarisées</t>
  </si>
  <si>
    <t>Services d'hébergement: chambres d'hôtel, etc</t>
  </si>
  <si>
    <t>Montres, réveils</t>
  </si>
  <si>
    <t>Boucle d'oreilles, colliers, bracelets, bijoux, autres articles de bijouterie et joaillerie n.d.a</t>
  </si>
  <si>
    <t>Autres effets personnels: valise, sac de voyage, sac à main, perruques, chapeau, lunettes solaires, parapluies, parasol, canne, porte-monnaie,portefeuille, articles pour fumeurs  articles pour bébé , articles funéraires</t>
  </si>
  <si>
    <t>Frais d'assurance d'une maison ou tout autre bien qu'un moyen de transport</t>
  </si>
  <si>
    <t>Taxes d'habitation (immeubles bâties et non bâties), taxes de voiries</t>
  </si>
  <si>
    <t>Frais d'assurance vie</t>
  </si>
  <si>
    <t>Frais d'assurance maladie</t>
  </si>
  <si>
    <t>Frais de légalisation (confection) de documents administratifs (actes d'Etat-civil,diplômes)</t>
  </si>
  <si>
    <t>Autres services: annonce à la radio, dans un journal/à la télévision, pompe funèbre</t>
  </si>
  <si>
    <t>Frais insc./scol. préscolaire</t>
  </si>
  <si>
    <t>Cotisations préscolaire</t>
  </si>
  <si>
    <t>Livres/cahiers préscolaire</t>
  </si>
  <si>
    <t>Aut. matériel préscolaire</t>
  </si>
  <si>
    <t>Uniformes préscolaire</t>
  </si>
  <si>
    <t>Frais cantine préscolaire</t>
  </si>
  <si>
    <t>Frais transport préscolaire</t>
  </si>
  <si>
    <t>Aut. (soutien, repet.) préscolaire</t>
  </si>
  <si>
    <t>Frais insc./scol. primaire</t>
  </si>
  <si>
    <t>Cotisations primaire</t>
  </si>
  <si>
    <t>Livres/cahiers primaire</t>
  </si>
  <si>
    <t>Aut. matériel primaire</t>
  </si>
  <si>
    <t>Uniformes primaire</t>
  </si>
  <si>
    <t>Frais cantine primaire</t>
  </si>
  <si>
    <t>Frais transport primaire</t>
  </si>
  <si>
    <t>Aut. (soutien, repet.) primaire</t>
  </si>
  <si>
    <t>Frais insc./scol. secondaire 1</t>
  </si>
  <si>
    <t>Cotisations secondaire 1</t>
  </si>
  <si>
    <t>Livres/cahiers secondaire 1</t>
  </si>
  <si>
    <t>Aut. matériel secondaire 1</t>
  </si>
  <si>
    <t>Uniformes secondaire 1</t>
  </si>
  <si>
    <t>Frais cantine secondaire 1</t>
  </si>
  <si>
    <t>Frais transport secondaire 1</t>
  </si>
  <si>
    <t>Aut. (soutien, repet.) secondaire 1</t>
  </si>
  <si>
    <t>Frais insc./scol. secondaire 2</t>
  </si>
  <si>
    <t>Cotisations secondaire 2</t>
  </si>
  <si>
    <t>Livres/cahiers secondaire 2</t>
  </si>
  <si>
    <t>Aut. matériel secondaire 2</t>
  </si>
  <si>
    <t>Uniformes secondaire 2</t>
  </si>
  <si>
    <t>Frais cantine secondaire 2</t>
  </si>
  <si>
    <t>Frais transport secondaire 2</t>
  </si>
  <si>
    <t>Aut. (soutien, repet.) secondaire 2</t>
  </si>
  <si>
    <t>Frais insc./scol. post-secondaire</t>
  </si>
  <si>
    <t>Cotisations post-secondaire</t>
  </si>
  <si>
    <t>Livres/cahiers post-secondaire</t>
  </si>
  <si>
    <t>Aut. matériel post-secondaire</t>
  </si>
  <si>
    <t>Uniformes post-secondaire</t>
  </si>
  <si>
    <t>Frais cantine post-secondaire</t>
  </si>
  <si>
    <t>Frais transport post-secondaire</t>
  </si>
  <si>
    <t>Aut. (soutien, repet.) post-secondaire</t>
  </si>
  <si>
    <t>Frais insc./scol. supérieur</t>
  </si>
  <si>
    <t>Cotisations supérieur</t>
  </si>
  <si>
    <t>Livres/cahiers supérieur</t>
  </si>
  <si>
    <t>Aut. matériel supérieur</t>
  </si>
  <si>
    <t>Uniformes supérieur</t>
  </si>
  <si>
    <t>Frais cantine supérieur</t>
  </si>
  <si>
    <t>Frais transport supérieur</t>
  </si>
  <si>
    <t>Aut. (soutien, repet.) supérieur</t>
  </si>
  <si>
    <t>Consultation generaliste</t>
  </si>
  <si>
    <t>Consultation specialiste</t>
  </si>
  <si>
    <t>Consultation dentiste</t>
  </si>
  <si>
    <t>Consultation guerisseur</t>
  </si>
  <si>
    <t>Examens medicaux hors hosp.</t>
  </si>
  <si>
    <t>Medic. modernes public hors hosp.</t>
  </si>
  <si>
    <t>Medic. modernes privé hors hosp.</t>
  </si>
  <si>
    <t>Medic. tradi. hors hosp.</t>
  </si>
  <si>
    <t>Vaccinations</t>
  </si>
  <si>
    <t>Circonsition</t>
  </si>
  <si>
    <t>Bilan santé</t>
  </si>
  <si>
    <t>Test Covid</t>
  </si>
  <si>
    <t>Transport ambulance, etc.</t>
  </si>
  <si>
    <t>Hospitalisation</t>
  </si>
  <si>
    <t>Frais accouchement</t>
  </si>
  <si>
    <t>Frais verres correcteurs/monture</t>
  </si>
  <si>
    <t>Béquil./chaises roul./prothèses, etc.</t>
  </si>
  <si>
    <t>Salon (Fauteuils et table basse)</t>
  </si>
  <si>
    <t>Table à manger (table + chaises)</t>
  </si>
  <si>
    <t>Lit</t>
  </si>
  <si>
    <t>Matelas simple</t>
  </si>
  <si>
    <t>Armoires et autres meubles</t>
  </si>
  <si>
    <t>Tapis</t>
  </si>
  <si>
    <t>Fer à repasser électrique</t>
  </si>
  <si>
    <t>Fer à repasser à charbon</t>
  </si>
  <si>
    <t>Cuisinière à gaz ou électrique</t>
  </si>
  <si>
    <t>Bonbonne de gaz</t>
  </si>
  <si>
    <t>Réchaud (plaque) à gaz ou électrique</t>
  </si>
  <si>
    <t>Four à micro-onde ou électrique</t>
  </si>
  <si>
    <t>Foyers améliorés</t>
  </si>
  <si>
    <t>Robot de cuisine électrique (Moulinex)</t>
  </si>
  <si>
    <t>Mixeur/Presse-fruits non électrique</t>
  </si>
  <si>
    <t>Réfrigérateur</t>
  </si>
  <si>
    <t>Congélateur</t>
  </si>
  <si>
    <t>Ventilateur sur pied</t>
  </si>
  <si>
    <t>Radio simple/Radiocassette</t>
  </si>
  <si>
    <t>Appareil TV</t>
  </si>
  <si>
    <t>Magnétoscope/CD/DVD</t>
  </si>
  <si>
    <t>Antenne parabolique / décodeur</t>
  </si>
  <si>
    <t>Lave-linge, sèche linge</t>
  </si>
  <si>
    <t>Aspirateur</t>
  </si>
  <si>
    <t>Climatiseurs/Splits amovibles</t>
  </si>
  <si>
    <t>Tondeuse à gazon et autre article de jardinage</t>
  </si>
  <si>
    <t>Groupe électrogène</t>
  </si>
  <si>
    <t>Voiture personnelle</t>
  </si>
  <si>
    <t>Cyclomoteur/Vélomoteur, motocyclette</t>
  </si>
  <si>
    <t>Bicyclette/Vélo de course</t>
  </si>
  <si>
    <t>Appareil photo</t>
  </si>
  <si>
    <t>Camescope</t>
  </si>
  <si>
    <t>Chaîne Hi Fi</t>
  </si>
  <si>
    <t>Téléphone fixe</t>
  </si>
  <si>
    <t>Téléphone portable</t>
  </si>
  <si>
    <t>Tablette</t>
  </si>
  <si>
    <t>Ordinateur</t>
  </si>
  <si>
    <t>Imprimante/Fax</t>
  </si>
  <si>
    <t>Caméra Vidéo</t>
  </si>
  <si>
    <t>Guitare</t>
  </si>
  <si>
    <t>Piano et autre appareil de musique</t>
  </si>
  <si>
    <t>Alimentation fêtes</t>
  </si>
  <si>
    <t>Alimentation mariage/baptême/comm.</t>
  </si>
  <si>
    <t>Alimentation funérailles/autres</t>
  </si>
  <si>
    <t>Boisson fêtes</t>
  </si>
  <si>
    <t>Boisson mariage/baptême/comm.</t>
  </si>
  <si>
    <t>Boisson funérailles/autres</t>
  </si>
  <si>
    <t>Habits/chaussures mar./bapt./comm.</t>
  </si>
  <si>
    <t>Habits/chaussures funér./autres</t>
  </si>
  <si>
    <t>Location salle/chaise fêtes</t>
  </si>
  <si>
    <t>Location salle/chaise mar./bapt./comm.</t>
  </si>
  <si>
    <t>Location salle/chaise funér./autres</t>
  </si>
  <si>
    <t xml:space="preserve"> 'Amphora''</t>
  </si>
  <si>
    <t xml:space="preserve"> Benson</t>
  </si>
  <si>
    <t xml:space="preserve"> Bitter Cola Nut</t>
  </si>
  <si>
    <t xml:space="preserve"> Bond</t>
  </si>
  <si>
    <t xml:space="preserve"> Cigar</t>
  </si>
  <si>
    <t xml:space="preserve"> Cleaning of grounds surrounding the dwelling;</t>
  </si>
  <si>
    <t xml:space="preserve"> Clothes pegs</t>
  </si>
  <si>
    <t xml:space="preserve"> Cost of Re -Covering of Sofa Chair</t>
  </si>
  <si>
    <t xml:space="preserve"> Face cloth.</t>
  </si>
  <si>
    <t xml:space="preserve"> Fee for Online tutoring.</t>
  </si>
  <si>
    <t xml:space="preserve"> House-helps (Maids)</t>
  </si>
  <si>
    <t xml:space="preserve"> Juice extractors</t>
  </si>
  <si>
    <t xml:space="preserve"> Kola nut</t>
  </si>
  <si>
    <t xml:space="preserve"> Manise (Tobacco) Wrapped in Paper</t>
  </si>
  <si>
    <t xml:space="preserve"> Marlboro</t>
  </si>
  <si>
    <t xml:space="preserve"> Rizzla</t>
  </si>
  <si>
    <t xml:space="preserve"> Services provide by theatre,</t>
  </si>
  <si>
    <t xml:space="preserve"> Shisha</t>
  </si>
  <si>
    <t xml:space="preserve"> Tacks</t>
  </si>
  <si>
    <t xml:space="preserve"> Transport of individuals and groups of persons and accompanied luggage by anima</t>
  </si>
  <si>
    <t xml:space="preserve"> Walking  stick</t>
  </si>
  <si>
    <t xml:space="preserve"> Wooden Dining Set</t>
  </si>
  <si>
    <t xml:space="preserve"> baptising services.</t>
  </si>
  <si>
    <t xml:space="preserve"> disinfection</t>
  </si>
  <si>
    <t xml:space="preserve"> household textiles and carpets</t>
  </si>
  <si>
    <t xml:space="preserve"> streaming services (film and music);</t>
  </si>
  <si>
    <t xml:space="preserve"> subscription to cable TV, satellite TV, IPTV, and Pay-TV;</t>
  </si>
  <si>
    <t>Account books</t>
  </si>
  <si>
    <t>Air-conditioner</t>
  </si>
  <si>
    <t>Aluminium foil</t>
  </si>
  <si>
    <t>Apples</t>
  </si>
  <si>
    <t>Arbecues for camping (contritutions)</t>
  </si>
  <si>
    <t>Ashtray</t>
  </si>
  <si>
    <t>Avacado (Pea)</t>
  </si>
  <si>
    <t>Babies' diaper (Cloth)</t>
  </si>
  <si>
    <t>Babies' diapers (manufactured)</t>
  </si>
  <si>
    <t>Baby  carriage</t>
  </si>
  <si>
    <t>Baby and child seats for car</t>
  </si>
  <si>
    <t>Baking powder</t>
  </si>
  <si>
    <t>Ball (Volleyball)</t>
  </si>
  <si>
    <t>Banana (standard)</t>
  </si>
  <si>
    <t>Baobab fruit</t>
  </si>
  <si>
    <t>Barbings (adult)</t>
  </si>
  <si>
    <t>Barbings (children)</t>
  </si>
  <si>
    <t>Basketball</t>
  </si>
  <si>
    <t>Basmati Rice (Imported)</t>
  </si>
  <si>
    <t>Battery</t>
  </si>
  <si>
    <t>Bed Sheet (Double Bed)</t>
  </si>
  <si>
    <t>Bed Sheet (Single Bed)</t>
  </si>
  <si>
    <t>Bedside lamp</t>
  </si>
  <si>
    <t>Bedstead</t>
  </si>
  <si>
    <t>Beef Steak at restaurant</t>
  </si>
  <si>
    <t>Beef sandwich</t>
  </si>
  <si>
    <t>Beef with bones</t>
  </si>
  <si>
    <t>Beef without bones</t>
  </si>
  <si>
    <t>Beer (Lager and Porter)</t>
  </si>
  <si>
    <t>Beer Heiniken</t>
  </si>
  <si>
    <t>Belt</t>
  </si>
  <si>
    <t>Benachin with fish/meat (1 Plate)</t>
  </si>
  <si>
    <t>Beret</t>
  </si>
  <si>
    <t>Bibs</t>
  </si>
  <si>
    <t>Bicycle Tyre ( Outer)</t>
  </si>
  <si>
    <t>Bicycle Tyre (inner)</t>
  </si>
  <si>
    <t>Big Red Pepper</t>
  </si>
  <si>
    <t>Binocular</t>
  </si>
  <si>
    <t>Birthday cards</t>
  </si>
  <si>
    <t>Bitter Tomato</t>
  </si>
  <si>
    <t>Black Pepper (Whole seed)</t>
  </si>
  <si>
    <t>Black Tea (Bags)</t>
  </si>
  <si>
    <t>Black Tea (Loose leaves)</t>
  </si>
  <si>
    <t>Blanket</t>
  </si>
  <si>
    <t>Blu-ray discs</t>
  </si>
  <si>
    <t>Bluetooth  speakers</t>
  </si>
  <si>
    <t>Boy's  Sandals</t>
  </si>
  <si>
    <t>Boy's Jeans</t>
  </si>
  <si>
    <t>Boy's Shirt</t>
  </si>
  <si>
    <t>Boy's Slippers</t>
  </si>
  <si>
    <t>Boy's underpant</t>
  </si>
  <si>
    <t>Boys' Sports Shoes</t>
  </si>
  <si>
    <t>Boys' Trousers</t>
  </si>
  <si>
    <t>Boys' dress shoes</t>
  </si>
  <si>
    <t>Boys' shorts</t>
  </si>
  <si>
    <t>Boys's boots</t>
  </si>
  <si>
    <t>Braces</t>
  </si>
  <si>
    <t>Brake Lining</t>
  </si>
  <si>
    <t>Brake Pad</t>
  </si>
  <si>
    <t>Brake Repair (labour cost)</t>
  </si>
  <si>
    <t>Brake fluid</t>
  </si>
  <si>
    <t>Brandy Napoleon</t>
  </si>
  <si>
    <t>Brassiere</t>
  </si>
  <si>
    <t>Bread (Senfurr)</t>
  </si>
  <si>
    <t>Bread (Tapalapa)</t>
  </si>
  <si>
    <t>Bridle</t>
  </si>
  <si>
    <t>Broad beans</t>
  </si>
  <si>
    <t>Brocade (Basin)</t>
  </si>
  <si>
    <t>Brush</t>
  </si>
  <si>
    <t>Bucket (Galvanised)</t>
  </si>
  <si>
    <t>Bucket (Plastic)</t>
  </si>
  <si>
    <t>Buckles</t>
  </si>
  <si>
    <t>Bus Fares  (public)</t>
  </si>
  <si>
    <t>Bus Fares (Private)</t>
  </si>
  <si>
    <t>Butter salted</t>
  </si>
  <si>
    <t>Butter sold loose</t>
  </si>
  <si>
    <t>Button</t>
  </si>
  <si>
    <t>Cabaa</t>
  </si>
  <si>
    <t>Cabaa Juice</t>
  </si>
  <si>
    <t>Cabbages</t>
  </si>
  <si>
    <t>Cake</t>
  </si>
  <si>
    <t>Calabash bowl</t>
  </si>
  <si>
    <t>Calendars</t>
  </si>
  <si>
    <t>Camaera lenses</t>
  </si>
  <si>
    <t>Camcorder</t>
  </si>
  <si>
    <t>Camel</t>
  </si>
  <si>
    <t>Camera  chargers</t>
  </si>
  <si>
    <t>Camera Specific Battery</t>
  </si>
  <si>
    <t>Camisole (ladies' under shirt)</t>
  </si>
  <si>
    <t>Camping  grounds)</t>
  </si>
  <si>
    <t>Camping Tents</t>
  </si>
  <si>
    <t>Can-openers</t>
  </si>
  <si>
    <t>Candles</t>
  </si>
  <si>
    <t>Canned meat</t>
  </si>
  <si>
    <t>Canvas</t>
  </si>
  <si>
    <t>Car Alarm</t>
  </si>
  <si>
    <t>Car hire</t>
  </si>
  <si>
    <t>Car hire without driver</t>
  </si>
  <si>
    <t>Car insurance (commercial)</t>
  </si>
  <si>
    <t>Car insurance (private)</t>
  </si>
  <si>
    <t>Car wash</t>
  </si>
  <si>
    <t>Carbon paper</t>
  </si>
  <si>
    <t>Card,</t>
  </si>
  <si>
    <t>Caretaking</t>
  </si>
  <si>
    <t>Carpentry Services ( Other Carpentry Services) (Major)</t>
  </si>
  <si>
    <t>Carpentry Services ( Other Carpentry Services) (Minor)</t>
  </si>
  <si>
    <t>Carpentry Services ( Roofing of a room and parlour)  (Major)</t>
  </si>
  <si>
    <t>Carpentry Services ( Roofing of a room and parlour) v</t>
  </si>
  <si>
    <t>Carpet shampooing machines</t>
  </si>
  <si>
    <t>Carptain Fish</t>
  </si>
  <si>
    <t>Carrot</t>
  </si>
  <si>
    <t>Cashewnut</t>
  </si>
  <si>
    <t>Casinos</t>
  </si>
  <si>
    <t>Cassava</t>
  </si>
  <si>
    <t>Cassava Powder</t>
  </si>
  <si>
    <t>Cassava leaves</t>
  </si>
  <si>
    <t>Catfish</t>
  </si>
  <si>
    <t>Ceiling light</t>
  </si>
  <si>
    <t>Cement (Major)</t>
  </si>
  <si>
    <t>Cement (Minor)</t>
  </si>
  <si>
    <t>Cerelac</t>
  </si>
  <si>
    <t>Chain saw,</t>
  </si>
  <si>
    <t>Champagne</t>
  </si>
  <si>
    <t>Change of Oil (labour Cost)</t>
  </si>
  <si>
    <t>Charges at national parks (e.g Abuko nature reserved)</t>
  </si>
  <si>
    <t>Charges by  Postal savings banks (interest on loan ledger fee etc.)</t>
  </si>
  <si>
    <t>Charges by Credit Unions (interest on loan ledger fee etc.)</t>
  </si>
  <si>
    <t>Charges by commercial banks (interest on loan ledger fee etc.)</t>
  </si>
  <si>
    <t>Charges for bridge crossing</t>
  </si>
  <si>
    <t>Charges for enlargement of photo</t>
  </si>
  <si>
    <t>Charges for event photography (Naming Ceremony)</t>
  </si>
  <si>
    <t>Charges for parking places in parking garages</t>
  </si>
  <si>
    <t>Charges for software installation services.</t>
  </si>
  <si>
    <t>Charges for the collection of solid waste  (By Donkey Cart)</t>
  </si>
  <si>
    <t>Charges for the collection of solid waste  (By Truck)</t>
  </si>
  <si>
    <t>Charges for the installation of household appliances (if charged separately)</t>
  </si>
  <si>
    <t>Charges for vedeo filming (e.g weeding ceremony)</t>
  </si>
  <si>
    <t>Charges on download of music and films</t>
  </si>
  <si>
    <t>Cheese, proceesed</t>
  </si>
  <si>
    <t>Chewing gum (Hollywood)</t>
  </si>
  <si>
    <t>Chicken (Local)</t>
  </si>
  <si>
    <t>Chicken Sandwich</t>
  </si>
  <si>
    <t>Chicken leg (Imported)</t>
  </si>
  <si>
    <t>Chicken whole (frozen)</t>
  </si>
  <si>
    <t>Chicken wings (Imported)</t>
  </si>
  <si>
    <t>Children?s Books</t>
  </si>
  <si>
    <t>Chilli paste</t>
  </si>
  <si>
    <t>Chilli powder</t>
  </si>
  <si>
    <t>Chips</t>
  </si>
  <si>
    <t>Chocolate Bar</t>
  </si>
  <si>
    <t>Christmas tree</t>
  </si>
  <si>
    <t>Cleaning and polishing jewellery</t>
  </si>
  <si>
    <t>Clothes hangers</t>
  </si>
  <si>
    <t>Clutch Plate</t>
  </si>
  <si>
    <t>Clutch Repair (labour Cost)</t>
  </si>
  <si>
    <t>Cocoa Instant Powder</t>
  </si>
  <si>
    <t>Coconut</t>
  </si>
  <si>
    <t>Coffee Machines</t>
  </si>
  <si>
    <t>Coffee grouded (e.g. Arabica)</t>
  </si>
  <si>
    <t>Coffin</t>
  </si>
  <si>
    <t>Cold drinking water (plastic container)</t>
  </si>
  <si>
    <t>Cold drinking water (plastic paper)</t>
  </si>
  <si>
    <t>Cold water (1.5 Ltr)</t>
  </si>
  <si>
    <t>Colouring books for children</t>
  </si>
  <si>
    <t>Combs</t>
  </si>
  <si>
    <t>Condensed milk</t>
  </si>
  <si>
    <t>Conditioners</t>
  </si>
  <si>
    <t>Cooking Knife</t>
  </si>
  <si>
    <t>Cooking Ladle (Kalama)</t>
  </si>
  <si>
    <t>Cooks</t>
  </si>
  <si>
    <t>Corn Flakes</t>
  </si>
  <si>
    <t>Corned beef</t>
  </si>
  <si>
    <t>Correcting fluid</t>
  </si>
  <si>
    <t>Corrugated Iron Sheet (Major)</t>
  </si>
  <si>
    <t>Corrugated Iron Sheet (Minor)</t>
  </si>
  <si>
    <t>Courier services for small parcel;</t>
  </si>
  <si>
    <t>Couscous</t>
  </si>
  <si>
    <t>Covers for motor car</t>
  </si>
  <si>
    <t>Cow foot</t>
  </si>
  <si>
    <t>Cow head</t>
  </si>
  <si>
    <t>Crabs</t>
  </si>
  <si>
    <t>Crayon</t>
  </si>
  <si>
    <t>Cream</t>
  </si>
  <si>
    <t>Creams and other shoe-cleaning articles (shoe brush);</t>
  </si>
  <si>
    <t>Cupboards</t>
  </si>
  <si>
    <t>Cups</t>
  </si>
  <si>
    <t>Cutlary</t>
  </si>
  <si>
    <t>DVDs (R and RW);</t>
  </si>
  <si>
    <t>Dahar Juice</t>
  </si>
  <si>
    <t>Daharr</t>
  </si>
  <si>
    <t>Dates</t>
  </si>
  <si>
    <t>Day-care  facility</t>
  </si>
  <si>
    <t>Deep Fryers</t>
  </si>
  <si>
    <t>Desexing of a Female Cat</t>
  </si>
  <si>
    <t>Diary</t>
  </si>
  <si>
    <t>Dictionary</t>
  </si>
  <si>
    <t>Diesel Fuel</t>
  </si>
  <si>
    <t>Dish brush</t>
  </si>
  <si>
    <t>Disinfectant bleaches</t>
  </si>
  <si>
    <t>Disposable plates</t>
  </si>
  <si>
    <t>Disposal of liquid waste (Private Trucks)</t>
  </si>
  <si>
    <t>Disposal of liquid waste (Public Trucks)</t>
  </si>
  <si>
    <t>Distilled water</t>
  </si>
  <si>
    <t>Don Simon Juice</t>
  </si>
  <si>
    <t>Doormat</t>
  </si>
  <si>
    <t>Drawing paper</t>
  </si>
  <si>
    <t>Dried Couta/Tenny</t>
  </si>
  <si>
    <t>Dried fish</t>
  </si>
  <si>
    <t>Drivers,</t>
  </si>
  <si>
    <t>Driving lessons,</t>
  </si>
  <si>
    <t>Driving licences;</t>
  </si>
  <si>
    <t>Driving tests,</t>
  </si>
  <si>
    <t>Dry Beans (Brown with black eyes)</t>
  </si>
  <si>
    <t>Dry Beans (White with black eyes)</t>
  </si>
  <si>
    <t>Dry cleaning (Men Trouser and Shirt)</t>
  </si>
  <si>
    <t>Dry cleaning (Men complete Suit)</t>
  </si>
  <si>
    <t>Dry green peas</t>
  </si>
  <si>
    <t>Dry-cleaning</t>
  </si>
  <si>
    <t>Dust brushes</t>
  </si>
  <si>
    <t>Dusters</t>
  </si>
  <si>
    <t>Dyeing of garments of men clothing (tappa)</t>
  </si>
  <si>
    <t>Dyeing of garments of women clothing (tappa)</t>
  </si>
  <si>
    <t>Dyeing of household linen</t>
  </si>
  <si>
    <t>Ed Aggregate</t>
  </si>
  <si>
    <t>Ed Books</t>
  </si>
  <si>
    <t>Ed Exams</t>
  </si>
  <si>
    <t>Ed Feeding</t>
  </si>
  <si>
    <t>Ed Training</t>
  </si>
  <si>
    <t>Ed Transport</t>
  </si>
  <si>
    <t>Ed Uniforms</t>
  </si>
  <si>
    <t>Ed extra</t>
  </si>
  <si>
    <t>Ed maintainance</t>
  </si>
  <si>
    <t>Ed others</t>
  </si>
  <si>
    <t>Ed tuition</t>
  </si>
  <si>
    <t>Eggs of hen (Industrial Breed)</t>
  </si>
  <si>
    <t>Eggs of hen (Local Breed)</t>
  </si>
  <si>
    <t>Electric Blender</t>
  </si>
  <si>
    <t>Electric Iron</t>
  </si>
  <si>
    <t>Electric Kettle</t>
  </si>
  <si>
    <t>Electric Pipes (Major)</t>
  </si>
  <si>
    <t>Electric Pipes (Minor)</t>
  </si>
  <si>
    <t>Electric Toaster</t>
  </si>
  <si>
    <t>Electric bulb</t>
  </si>
  <si>
    <t>Electric drill,</t>
  </si>
  <si>
    <t>Electric razors</t>
  </si>
  <si>
    <t>Electric screwdriver.</t>
  </si>
  <si>
    <t>Engine Boat</t>
  </si>
  <si>
    <t>Envelope</t>
  </si>
  <si>
    <t>Eraser</t>
  </si>
  <si>
    <t>Evaporated milk</t>
  </si>
  <si>
    <t>Exam preparation courses (e.g Fee for Tutorial classes for WAEC private Examinat</t>
  </si>
  <si>
    <t>Face powder  compacts</t>
  </si>
  <si>
    <t>Fan</t>
  </si>
  <si>
    <t>Fan (local hand fan)</t>
  </si>
  <si>
    <t>Fee for Football Game</t>
  </si>
  <si>
    <t>Fees  for  the  issue  of  birth certificate</t>
  </si>
  <si>
    <t>Fees  for  the  issue  of  marriage certificates</t>
  </si>
  <si>
    <t>Fees for Lawyer</t>
  </si>
  <si>
    <t>Fees for accountants</t>
  </si>
  <si>
    <t>Fees for taking part in sports competitions;</t>
  </si>
  <si>
    <t>Fees to money transfer agents</t>
  </si>
  <si>
    <t>Ferry Fares</t>
  </si>
  <si>
    <t>Fertilizer,</t>
  </si>
  <si>
    <t>Fess paid at historical monuments</t>
  </si>
  <si>
    <t>Fiction and non-fiction books</t>
  </si>
  <si>
    <t>Files</t>
  </si>
  <si>
    <t>Findi</t>
  </si>
  <si>
    <t>Fire extinguisher</t>
  </si>
  <si>
    <t>Fire extinguishers.</t>
  </si>
  <si>
    <t>Firewood</t>
  </si>
  <si>
    <t>Fish Pie</t>
  </si>
  <si>
    <t>Fish and chips</t>
  </si>
  <si>
    <t>Fish fillet with side dish</t>
  </si>
  <si>
    <t>Fish with bread crumbs</t>
  </si>
  <si>
    <t>Fishing nets/line</t>
  </si>
  <si>
    <t>Fishing rods</t>
  </si>
  <si>
    <t>Fitness Center (Monthly subscribtion)</t>
  </si>
  <si>
    <t>Flash drives</t>
  </si>
  <si>
    <t>Floor Carpet</t>
  </si>
  <si>
    <t>Foam Mattress</t>
  </si>
  <si>
    <t>Food Mixers</t>
  </si>
  <si>
    <t>Football</t>
  </si>
  <si>
    <t>Football boots</t>
  </si>
  <si>
    <t>Football gloves</t>
  </si>
  <si>
    <t>Football nets</t>
  </si>
  <si>
    <t>Fork</t>
  </si>
  <si>
    <t>Freezer Upright</t>
  </si>
  <si>
    <t>Fresh Barracuda</t>
  </si>
  <si>
    <t>Fresh Bonga</t>
  </si>
  <si>
    <t>Fresh Green Pepper</t>
  </si>
  <si>
    <t>Fresh Grouper/Ladyfish</t>
  </si>
  <si>
    <t>Fresh Mackerel Fish</t>
  </si>
  <si>
    <t>Fresh cow milk</t>
  </si>
  <si>
    <t>Fresh green peas</t>
  </si>
  <si>
    <t>Fresh small sardine</t>
  </si>
  <si>
    <t>Fruit mamalade</t>
  </si>
  <si>
    <t>Frying Pan</t>
  </si>
  <si>
    <t>Fuel  Filter</t>
  </si>
  <si>
    <t>Fungicides</t>
  </si>
  <si>
    <t>Gaming machine</t>
  </si>
  <si>
    <t>Garbage bag</t>
  </si>
  <si>
    <t>Garden Gloves</t>
  </si>
  <si>
    <t>Garden eggs</t>
  </si>
  <si>
    <t>Garden tractor</t>
  </si>
  <si>
    <t>Gardeners</t>
  </si>
  <si>
    <t>Gardening</t>
  </si>
  <si>
    <t>Garlic</t>
  </si>
  <si>
    <t>Gas</t>
  </si>
  <si>
    <t>Gas Pump</t>
  </si>
  <si>
    <t>Gas stove 2 burnner</t>
  </si>
  <si>
    <t>General purpose cleanser</t>
  </si>
  <si>
    <t>Gilrs's Slippers (Charack)</t>
  </si>
  <si>
    <t>Girl's Rubber Sandals</t>
  </si>
  <si>
    <t>Girls' Dress</t>
  </si>
  <si>
    <t>Girls' Full Shoes-Synthetic</t>
  </si>
  <si>
    <t>Girls' Sports Shoes</t>
  </si>
  <si>
    <t>Girls' flatters</t>
  </si>
  <si>
    <t>Girls' full shoes</t>
  </si>
  <si>
    <t>Girls' sandals</t>
  </si>
  <si>
    <t>Girls' sport shoes</t>
  </si>
  <si>
    <t>Girls'underpant</t>
  </si>
  <si>
    <t>Glazier (fitting  glasses into windows and doors) (Major)</t>
  </si>
  <si>
    <t>Glazier (fitting  glasses into windows and doors) (Minor)</t>
  </si>
  <si>
    <t>Globe light</t>
  </si>
  <si>
    <t>Gloves</t>
  </si>
  <si>
    <t>Glucose</t>
  </si>
  <si>
    <t>Glues and adhesive</t>
  </si>
  <si>
    <t>Goat meat (mutton)</t>
  </si>
  <si>
    <t>Gold</t>
  </si>
  <si>
    <t>Golfing shoes</t>
  </si>
  <si>
    <t>Grapes</t>
  </si>
  <si>
    <t>Green Tea (Attaya)</t>
  </si>
  <si>
    <t>Groundnuts-shelled</t>
  </si>
  <si>
    <t>Guava (100% Juice)</t>
  </si>
  <si>
    <t>Guiness (Stout)</t>
  </si>
  <si>
    <t>Guitar</t>
  </si>
  <si>
    <t>Gymnastic equipment(e.g bench)</t>
  </si>
  <si>
    <t>Hair  lacquers  and  lotions</t>
  </si>
  <si>
    <t>Hair trimmers</t>
  </si>
  <si>
    <t>Hairbrushes</t>
  </si>
  <si>
    <t>Hairdressing salons ( Hair Straigtining)</t>
  </si>
  <si>
    <t>Hammer</t>
  </si>
  <si>
    <t>Hand dishwashing detergent</t>
  </si>
  <si>
    <t>Handkerchiefs</t>
  </si>
  <si>
    <t>Harness</t>
  </si>
  <si>
    <t>Hat</t>
  </si>
  <si>
    <t>Health Agg</t>
  </si>
  <si>
    <t>Health Medication</t>
  </si>
  <si>
    <t>Health consultations</t>
  </si>
  <si>
    <t>Health other</t>
  </si>
  <si>
    <t>Health procedures</t>
  </si>
  <si>
    <t>Heavy Dinner Plate</t>
  </si>
  <si>
    <t>Heinze</t>
  </si>
  <si>
    <t>Helmet</t>
  </si>
  <si>
    <t>Helmets for motorcycle</t>
  </si>
  <si>
    <t>Herbicides (used on weeds)</t>
  </si>
  <si>
    <t>Hire and repair of equipment for sport, camping and open-air recreation; (e.g fo</t>
  </si>
  <si>
    <t>Hire of beach umbrella and deckchair.</t>
  </si>
  <si>
    <t>Hire of boats for sports</t>
  </si>
  <si>
    <t>Hire of chairs</t>
  </si>
  <si>
    <t>Holiday decorations (for Christmas, Easter, and Eid, )</t>
  </si>
  <si>
    <t>Home security</t>
  </si>
  <si>
    <t>Hoses spade</t>
  </si>
  <si>
    <t>Housing repair expenditures</t>
  </si>
  <si>
    <t>Ice Cream (Cone)</t>
  </si>
  <si>
    <t>Ice cream (Bowl)</t>
  </si>
  <si>
    <t>Imported Honey</t>
  </si>
  <si>
    <t>Indoor flower (Artificial) in vase</t>
  </si>
  <si>
    <t>Indoor plant (Artificial)</t>
  </si>
  <si>
    <t>Indoor plants ( Natural)</t>
  </si>
  <si>
    <t>Information technology courses (e.g. MS Word,EXCEL,Power point etc?)</t>
  </si>
  <si>
    <t>Ink</t>
  </si>
  <si>
    <t>Inoculation of a Dog</t>
  </si>
  <si>
    <t>Insecticides</t>
  </si>
  <si>
    <t>Instant noodles</t>
  </si>
  <si>
    <t>International Flight  (ASKY)</t>
  </si>
  <si>
    <t>International Flight  (Air Portugal (Tap))</t>
  </si>
  <si>
    <t>International Flight  (Air Senegal)</t>
  </si>
  <si>
    <t>International Flight  (Royal Air Moroc )</t>
  </si>
  <si>
    <t>International Flight  (SN Brussels)</t>
  </si>
  <si>
    <t>International Flight  (Turkish Airlines)</t>
  </si>
  <si>
    <t>International call</t>
  </si>
  <si>
    <t>Internet Costs (Cyber Café)</t>
  </si>
  <si>
    <t>Irish potato</t>
  </si>
  <si>
    <t>Iron (charcoal)</t>
  </si>
  <si>
    <t>Iron (ferri dom)</t>
  </si>
  <si>
    <t>Jam</t>
  </si>
  <si>
    <t>Jambakatang</t>
  </si>
  <si>
    <t>Jogging suit</t>
  </si>
  <si>
    <t>Joints (Major)</t>
  </si>
  <si>
    <t>Joints (Minor)</t>
  </si>
  <si>
    <t>Juice (Wonjo)</t>
  </si>
  <si>
    <t>Jumbo</t>
  </si>
  <si>
    <t>Key ring</t>
  </si>
  <si>
    <t>Knitting machines</t>
  </si>
  <si>
    <t>Knitting needles</t>
  </si>
  <si>
    <t>Knitting yarns</t>
  </si>
  <si>
    <t>Kora</t>
  </si>
  <si>
    <t>LED string</t>
  </si>
  <si>
    <t>Lace</t>
  </si>
  <si>
    <t>Lactogen</t>
  </si>
  <si>
    <t>Ladder</t>
  </si>
  <si>
    <t>Ladies Underwear (panties)</t>
  </si>
  <si>
    <t>Ladies' Dockers</t>
  </si>
  <si>
    <t>Ladies' Dress</t>
  </si>
  <si>
    <t>Ladies' Tights</t>
  </si>
  <si>
    <t>Ladies' jeans</t>
  </si>
  <si>
    <t>Ladies's skirt</t>
  </si>
  <si>
    <t>Ladys' Blouse</t>
  </si>
  <si>
    <t>Language immersion courses and international travels with educational purposes (</t>
  </si>
  <si>
    <t>Language proficiency tests</t>
  </si>
  <si>
    <t>Laundering</t>
  </si>
  <si>
    <t>Laundry  (Hand Wash) per month</t>
  </si>
  <si>
    <t>Laundry (Hand Wash per dozen)</t>
  </si>
  <si>
    <t>Laundry Basket</t>
  </si>
  <si>
    <t>Laundry bag</t>
  </si>
  <si>
    <t>Leather beaded slippers</t>
  </si>
  <si>
    <t>Lemon</t>
  </si>
  <si>
    <t>Letter Postage  (International)</t>
  </si>
  <si>
    <t>Letter Postage  (Local)</t>
  </si>
  <si>
    <t>Lettuce</t>
  </si>
  <si>
    <t>Library fees;</t>
  </si>
  <si>
    <t>License fee for Radio Station</t>
  </si>
  <si>
    <t>License fee for TV Station</t>
  </si>
  <si>
    <t>Life bull</t>
  </si>
  <si>
    <t>Life chicken (Industrial Breed)</t>
  </si>
  <si>
    <t>Life chicken (Local Breed)</t>
  </si>
  <si>
    <t>Life goat</t>
  </si>
  <si>
    <t>Life guinea fowl</t>
  </si>
  <si>
    <t>Life pig</t>
  </si>
  <si>
    <t>Life sheep</t>
  </si>
  <si>
    <t>Lighter</t>
  </si>
  <si>
    <t>Lime</t>
  </si>
  <si>
    <t>Lipstick</t>
  </si>
  <si>
    <t>Live duck</t>
  </si>
  <si>
    <t>Local Call</t>
  </si>
  <si>
    <t>Local Honey</t>
  </si>
  <si>
    <t>Locust Beans (Neteetu)</t>
  </si>
  <si>
    <t>Long-grained rice (imported)</t>
  </si>
  <si>
    <t>Lottery Ticket</t>
  </si>
  <si>
    <t>Machine dishwashing detergent</t>
  </si>
  <si>
    <t>Magazines</t>
  </si>
  <si>
    <t>Maggi Liquid</t>
  </si>
  <si>
    <t>Maize</t>
  </si>
  <si>
    <t>Maize flour</t>
  </si>
  <si>
    <t>Mandarines</t>
  </si>
  <si>
    <t>Mango(100% juice) Juice</t>
  </si>
  <si>
    <t>Mangoes (Jurr)</t>
  </si>
  <si>
    <t>Manicures</t>
  </si>
  <si>
    <t>Manual Hand Blender</t>
  </si>
  <si>
    <t>Margarine</t>
  </si>
  <si>
    <t>Mariguwanna</t>
  </si>
  <si>
    <t>Mat</t>
  </si>
  <si>
    <t>Matches</t>
  </si>
  <si>
    <t>Material for Curtain / Bed sheet</t>
  </si>
  <si>
    <t>Material for Suit</t>
  </si>
  <si>
    <t>Material for local clothing (Fataro)</t>
  </si>
  <si>
    <t>Material for trouser</t>
  </si>
  <si>
    <t>Materials for shirt</t>
  </si>
  <si>
    <t>Maxell coffee</t>
  </si>
  <si>
    <t>Mborr Mborr</t>
  </si>
  <si>
    <t>Meat pie</t>
  </si>
  <si>
    <t>Medicinal  soap</t>
  </si>
  <si>
    <t>Medium-grained rice (Imported)</t>
  </si>
  <si>
    <t>Memberships Fees for Sports Clubs</t>
  </si>
  <si>
    <t>Men cap</t>
  </si>
  <si>
    <t>Men's  batik Shirt</t>
  </si>
  <si>
    <t>Men's  wax shirt</t>
  </si>
  <si>
    <t>Men's Full Shoe</t>
  </si>
  <si>
    <t>Men's Jeans</t>
  </si>
  <si>
    <t>Men's Shirts</t>
  </si>
  <si>
    <t>Men's Slippers (leather)</t>
  </si>
  <si>
    <t>Men's Sports Shoes</t>
  </si>
  <si>
    <t>Men's boots</t>
  </si>
  <si>
    <t>Men's sandals</t>
  </si>
  <si>
    <t>Mens' Sock</t>
  </si>
  <si>
    <t>Mens' Suit (Ready-made-suit)</t>
  </si>
  <si>
    <t>Mens' Trousers</t>
  </si>
  <si>
    <t>Mens' Underwear</t>
  </si>
  <si>
    <t>Methylated spirits</t>
  </si>
  <si>
    <t>Microscope</t>
  </si>
  <si>
    <t>Microwave Oven</t>
  </si>
  <si>
    <t>Milk sacket</t>
  </si>
  <si>
    <t>Millet</t>
  </si>
  <si>
    <t>Millet flour</t>
  </si>
  <si>
    <t>Mint Fresh</t>
  </si>
  <si>
    <t>Mint Stick</t>
  </si>
  <si>
    <t>Mittens</t>
  </si>
  <si>
    <t>Monte Carlo</t>
  </si>
  <si>
    <t>Mortar and Pestle</t>
  </si>
  <si>
    <t>Mosquito Net</t>
  </si>
  <si>
    <t>Motor cycle Tyre tube</t>
  </si>
  <si>
    <t>Motor cycle outer tyre</t>
  </si>
  <si>
    <t>Motor oil</t>
  </si>
  <si>
    <t>Motor vehicle Tyre</t>
  </si>
  <si>
    <t>Motor vehicle Tyre Tube</t>
  </si>
  <si>
    <t>Motorcycles  insurance</t>
  </si>
  <si>
    <t>Muffs</t>
  </si>
  <si>
    <t>Mug</t>
  </si>
  <si>
    <t>Mustard Jar</t>
  </si>
  <si>
    <t>Nail varnish</t>
  </si>
  <si>
    <t>Neck ties</t>
  </si>
  <si>
    <t>Negro Pot</t>
  </si>
  <si>
    <t>Nescafe Classic</t>
  </si>
  <si>
    <t>Nestle</t>
  </si>
  <si>
    <t>New postage stamp</t>
  </si>
  <si>
    <t>Newspaper bought in Kiosks/streets</t>
  </si>
  <si>
    <t>Night Dress (female)</t>
  </si>
  <si>
    <t>Nightclubs Ticket</t>
  </si>
  <si>
    <t>Nursery</t>
  </si>
  <si>
    <t>Nutrilac</t>
  </si>
  <si>
    <t>Nuts and bolts</t>
  </si>
  <si>
    <t>Oat meal</t>
  </si>
  <si>
    <t>Oil Filter</t>
  </si>
  <si>
    <t>Oil Paints (Major)</t>
  </si>
  <si>
    <t>Oil Paints (Minor)</t>
  </si>
  <si>
    <t>Okra</t>
  </si>
  <si>
    <t>Okra seed</t>
  </si>
  <si>
    <t>Olive oil</t>
  </si>
  <si>
    <t>Omelettes</t>
  </si>
  <si>
    <t>Onion</t>
  </si>
  <si>
    <t>Onion leaves</t>
  </si>
  <si>
    <t>Orange (100% Juice)</t>
  </si>
  <si>
    <t>Oranges</t>
  </si>
  <si>
    <t>Other   Letter handling services ( Please Specify)</t>
  </si>
  <si>
    <t>Other   Miscellaneous Printed Matter , (please specify)</t>
  </si>
  <si>
    <t>Other   Repair and Rental of Information and Communication Equipment, (please Sp</t>
  </si>
  <si>
    <t>Other  Cigars (specify)</t>
  </si>
  <si>
    <t>Other  Cleaning of clothing (Please specify)</t>
  </si>
  <si>
    <t>Other  Footwear for infants and children (Please specify)</t>
  </si>
  <si>
    <t>Other  Internet Access provision services and net storage Services , (please Spe</t>
  </si>
  <si>
    <t>Other  Maintenance charges in multi-occupied buildings (Please Specify)</t>
  </si>
  <si>
    <t>Other  Major laundry appliances (Please Specify)</t>
  </si>
  <si>
    <t>Other  Margarine and similar preparations</t>
  </si>
  <si>
    <t>Other  Mobile Communication Services, (please Specify)</t>
  </si>
  <si>
    <t>Other  Narcotics  (specify)</t>
  </si>
  <si>
    <t>Other  Nuts (in shell or shelled)</t>
  </si>
  <si>
    <t>Other  Other books , (please specify)</t>
  </si>
  <si>
    <t>Other  Other tobacco products  (specify)</t>
  </si>
  <si>
    <t>Other  Refuse collection (Please Specify)</t>
  </si>
  <si>
    <t>Other  Repair, installation and hire of furniture, furnishings and loose carpets</t>
  </si>
  <si>
    <t>Other  Stationery and Drawing Materials ,( please specify)</t>
  </si>
  <si>
    <t>Other  Table linen and bathroom linen (Please Specify)</t>
  </si>
  <si>
    <t>Other  Wine from other sources (specify)</t>
  </si>
  <si>
    <t>Other (please specify)</t>
  </si>
  <si>
    <t>Other (specify)</t>
  </si>
  <si>
    <t>Other Animal drawn vehicles (Please Specify)</t>
  </si>
  <si>
    <t>Other Black tea, leaves (specify)</t>
  </si>
  <si>
    <t>Other Breakfast cereals (please specify)</t>
  </si>
  <si>
    <t>Other Bus Fare , Please specify</t>
  </si>
  <si>
    <t>Other Butter and other fats and oils</t>
  </si>
  <si>
    <t>Other Cereal (specify)</t>
  </si>
  <si>
    <t>Other Charges for parking places in parking garages (Please Specify)</t>
  </si>
  <si>
    <t>Other Chocolate, cocoa, and cocoa-based</t>
  </si>
  <si>
    <t>Other Cigarettes (specify)</t>
  </si>
  <si>
    <t>Other Cleaning, repair, and hire of footwear(Please specify)</t>
  </si>
  <si>
    <t>Other Clothing materials (please specify)</t>
  </si>
  <si>
    <t>Other Cocoa drinks (specify)</t>
  </si>
  <si>
    <t>Other Courier and parcel delivery services (Please Specify)</t>
  </si>
  <si>
    <t>Other Cultural Services, (please specify)</t>
  </si>
  <si>
    <t>Other Domestic services by paid staff (Please Specify)</t>
  </si>
  <si>
    <t>Other Driving lessons, tests, licences, and road worthiness tests (Please Specif</t>
  </si>
  <si>
    <t>Other Eggs (specify)</t>
  </si>
  <si>
    <t>Other Fish preparations (specify)</t>
  </si>
  <si>
    <t>Other Fish, dried, salted, in brine or other</t>
  </si>
  <si>
    <t>Other Fish, live, fresh, chilled or frozen</t>
  </si>
  <si>
    <t>Other Footwear for Women (Please specify)</t>
  </si>
  <si>
    <t>Other Fruit Bearing Vegetables</t>
  </si>
  <si>
    <t>Other Fruit and vegetable juices (specify)</t>
  </si>
  <si>
    <t>Other Furnishing fabrics and curtains (Please Specify)</t>
  </si>
  <si>
    <t>Other Furnishings, loose carpets and rugs (Please Specify)</t>
  </si>
  <si>
    <t>Other Garments for women or girls(please specify</t>
  </si>
  <si>
    <t>Other Glassware, crystal-ware, ceramic ware and chinaware (Please Specify)</t>
  </si>
  <si>
    <t>Other Green tea, leaves (specify)</t>
  </si>
  <si>
    <t>Other Hairdressing, Please Specify</t>
  </si>
  <si>
    <t>Other Heaters, air conditioners (Please Specify)</t>
  </si>
  <si>
    <t>Other Household cleaning and maintenance products (Please Specify)</t>
  </si>
  <si>
    <t>Other Household furniture (Please Specify)</t>
  </si>
  <si>
    <t>Other Instant tea powder (specify)</t>
  </si>
  <si>
    <t>Other Jams, fruit jellies, marmalades</t>
  </si>
  <si>
    <t>Other Jewellery and watches, (Please Specify)</t>
  </si>
  <si>
    <t>Other Magazines and periodicals , (please specify)</t>
  </si>
  <si>
    <t>Other Materials for the maintenance and repair of the dwelling(please Specify) (</t>
  </si>
  <si>
    <t>Other Meat, fresh, chilled or frozen</t>
  </si>
  <si>
    <t>Other Meat, offal, blood and other parts</t>
  </si>
  <si>
    <t>Other Musical instruments, (please specify)</t>
  </si>
  <si>
    <t>Other Offal, blood and other parts</t>
  </si>
  <si>
    <t>Other Package Holiday , (please specify)</t>
  </si>
  <si>
    <t>Other Passenger Transport by Air, International, Please specify</t>
  </si>
  <si>
    <t>Other Personal grooming treatments, Please Specify</t>
  </si>
  <si>
    <t>Other Raw and whole milk (specify)</t>
  </si>
  <si>
    <t>Other Religious services, (Please specifdy)</t>
  </si>
  <si>
    <t>Other Repair, tailoring and hire of clothing (Please specify)</t>
  </si>
  <si>
    <t>Other Services for the maintenance, repair and security of the dwelling (please</t>
  </si>
  <si>
    <t>Other Skimmed milk (specify)</t>
  </si>
  <si>
    <t>Other Small appliances for cooking and processing of food(Please Specify)</t>
  </si>
  <si>
    <t>Other Spices, culinary herbs and seeds</t>
  </si>
  <si>
    <t>Other Taxi fare , please Specify</t>
  </si>
  <si>
    <t>Other Toll Facilities (Please Specify)</t>
  </si>
  <si>
    <t>Other Tubers, plantains and cooking bananas</t>
  </si>
  <si>
    <t>Other Vegetable oils (specify)</t>
  </si>
  <si>
    <t>Other Vegetables, tubers, plantains, etc</t>
  </si>
  <si>
    <t>Other Water supply through network systems (Please specify)</t>
  </si>
  <si>
    <t>Other Wine from grapes (specify)</t>
  </si>
  <si>
    <t>Other baby formula (specify)</t>
  </si>
  <si>
    <t>Other baby rice cereals and flours</t>
  </si>
  <si>
    <t>Other beer (specify)</t>
  </si>
  <si>
    <t>Other bread and bakery products</t>
  </si>
  <si>
    <t>Other cereal and grain mill products</t>
  </si>
  <si>
    <t>Other child care Serices, (please specify)</t>
  </si>
  <si>
    <t>Other citrus fruits, fresh (specify)</t>
  </si>
  <si>
    <t>Other coffee (specify)</t>
  </si>
  <si>
    <t>Other coffee substitutes (specify)</t>
  </si>
  <si>
    <t>Other flour of cereal (please specify)</t>
  </si>
  <si>
    <t>Other food products n.e.c. (specify)</t>
  </si>
  <si>
    <t>Other green leguminous vegetables</t>
  </si>
  <si>
    <t>Other ice, ice cream and sorbet (specify)</t>
  </si>
  <si>
    <t>Other leafy or stem vegetables (fresh)</t>
  </si>
  <si>
    <t>Other live and land animals</t>
  </si>
  <si>
    <t>Other macaroni, noodles, couscous and etc</t>
  </si>
  <si>
    <t>Other milk and cream (specify)</t>
  </si>
  <si>
    <t>Other non-alcoholic beverages (specify)</t>
  </si>
  <si>
    <t>Other nut purée, nut butter and other</t>
  </si>
  <si>
    <t>Other omelettes, crepes and etc</t>
  </si>
  <si>
    <t>Other pre-cooked dishes based on pasta</t>
  </si>
  <si>
    <t>Other pre-cooked dishes based with meat</t>
  </si>
  <si>
    <t>Other pulses (specify)</t>
  </si>
  <si>
    <t>Other salt (specify)</t>
  </si>
  <si>
    <t>Other sandwiches, pizzas, quiches, meat</t>
  </si>
  <si>
    <t>Other sates, figs and tropical fruits</t>
  </si>
  <si>
    <t>Other sauces and condiments (specify)</t>
  </si>
  <si>
    <t>Other seafood, live, fresh, chilled or other</t>
  </si>
  <si>
    <t>Other soft drinks (specify)</t>
  </si>
  <si>
    <t>Other stone fruits and pome fruits</t>
  </si>
  <si>
    <t>Other sugar and substitutes (specify)</t>
  </si>
  <si>
    <t>Other sugar confectionery and desserts</t>
  </si>
  <si>
    <t>Other tea products and plant products</t>
  </si>
  <si>
    <t>Other vegetables, fresh or chilled (specify)</t>
  </si>
  <si>
    <t>Other waters (specify)</t>
  </si>
  <si>
    <t>Ovaltine Powder</t>
  </si>
  <si>
    <t>Ownership transfer charges for vehicles;</t>
  </si>
  <si>
    <t>Oysters</t>
  </si>
  <si>
    <t>Paddy rice long grain (Local)</t>
  </si>
  <si>
    <t>Painting of Room (Major)</t>
  </si>
  <si>
    <t>Painting of Room (Minor)</t>
  </si>
  <si>
    <t>Palm kernel fruit</t>
  </si>
  <si>
    <t>Palm oil</t>
  </si>
  <si>
    <t>Palm wine</t>
  </si>
  <si>
    <t>Paper  handkerchiefs</t>
  </si>
  <si>
    <t>Parcel delivery services (incoming and outgoing ? parcels sent and delivery of p</t>
  </si>
  <si>
    <t>Parsley</t>
  </si>
  <si>
    <t>Passport size picture</t>
  </si>
  <si>
    <t>Paw-paw</t>
  </si>
  <si>
    <t>Payment for alien card</t>
  </si>
  <si>
    <t>Payment for death benefit insurance</t>
  </si>
  <si>
    <t>Payment for education insurance</t>
  </si>
  <si>
    <t>Payment for life insurance</t>
  </si>
  <si>
    <t>Payment for the services of estate agents</t>
  </si>
  <si>
    <t>Payment in Hotel</t>
  </si>
  <si>
    <t>Payment in Motel</t>
  </si>
  <si>
    <t>Payment in resorts</t>
  </si>
  <si>
    <t>Peanut Butter</t>
  </si>
  <si>
    <t>Pedicures</t>
  </si>
  <si>
    <t>Pen</t>
  </si>
  <si>
    <t>Pencil</t>
  </si>
  <si>
    <t>Pencil Sharpner</t>
  </si>
  <si>
    <t>Perfumes</t>
  </si>
  <si>
    <t>Personal deodorants</t>
  </si>
  <si>
    <t>Pest extermination</t>
  </si>
  <si>
    <t>Pesticide,</t>
  </si>
  <si>
    <t>Pesticides</t>
  </si>
  <si>
    <t>Petrol</t>
  </si>
  <si>
    <t>Photographic Developer</t>
  </si>
  <si>
    <t>Photographic Paper.</t>
  </si>
  <si>
    <t>Piano</t>
  </si>
  <si>
    <t>Piccadilly</t>
  </si>
  <si>
    <t>Picture Postcards</t>
  </si>
  <si>
    <t>Pillow filler</t>
  </si>
  <si>
    <t>Pillows cushions</t>
  </si>
  <si>
    <t>Pilrimage to Mecca</t>
  </si>
  <si>
    <t>Pilrimage to Rome</t>
  </si>
  <si>
    <t>Pineapple</t>
  </si>
  <si>
    <t>Pipe</t>
  </si>
  <si>
    <t>Plain Cotton</t>
  </si>
  <si>
    <t>Plain Yoghurt</t>
  </si>
  <si>
    <t>Plastering of Room (Major)</t>
  </si>
  <si>
    <t>Plastering of Room (Minor)</t>
  </si>
  <si>
    <t>Plastic Basin</t>
  </si>
  <si>
    <t>Plastic Pan</t>
  </si>
  <si>
    <t>Plastic Plate</t>
  </si>
  <si>
    <t>Plastic Tea Cup</t>
  </si>
  <si>
    <t>Pliers</t>
  </si>
  <si>
    <t>Plum (saloum)</t>
  </si>
  <si>
    <t>Plumbing services ( Fixing of Toilet ) (Major)</t>
  </si>
  <si>
    <t>Plumbing services ( Fixing of Toilet ) (Minor)</t>
  </si>
  <si>
    <t>Plumbing services ( Other plumbing services) (Major)</t>
  </si>
  <si>
    <t>Plumbing services ( Other plumbing services) (Minor)</t>
  </si>
  <si>
    <t>Polishes,</t>
  </si>
  <si>
    <t>Pool Cleaning</t>
  </si>
  <si>
    <t>Pool cleaning chemicals and water treatment chemicals</t>
  </si>
  <si>
    <t>Popcorn</t>
  </si>
  <si>
    <t>Pork</t>
  </si>
  <si>
    <t>Posters</t>
  </si>
  <si>
    <t>Pot and Pot Holder</t>
  </si>
  <si>
    <t>Potato leaves</t>
  </si>
  <si>
    <t>Powdered milk</t>
  </si>
  <si>
    <t>Power malt</t>
  </si>
  <si>
    <t>Power shears</t>
  </si>
  <si>
    <t>Power sockets (Major)</t>
  </si>
  <si>
    <t>Power sockets (Minor)</t>
  </si>
  <si>
    <t>Pre-shave  and powder  compacts</t>
  </si>
  <si>
    <t>Pressure cooker</t>
  </si>
  <si>
    <t>Printed Cotton (Wax)</t>
  </si>
  <si>
    <t>Pumpkin</t>
  </si>
  <si>
    <t>Purchase of pets</t>
  </si>
  <si>
    <t>Pushchair</t>
  </si>
  <si>
    <t>Raincoat</t>
  </si>
  <si>
    <t>Rake</t>
  </si>
  <si>
    <t>Rasp file</t>
  </si>
  <si>
    <t>Raw Groundnut (powder)</t>
  </si>
  <si>
    <t>Razors</t>
  </si>
  <si>
    <t>Ready-made Curtain</t>
  </si>
  <si>
    <t>Recorded tapes,</t>
  </si>
  <si>
    <t>Red snapper</t>
  </si>
  <si>
    <t>Red wine</t>
  </si>
  <si>
    <t>Refuse disposal and collection</t>
  </si>
  <si>
    <t>Religious books</t>
  </si>
  <si>
    <t>Rental  of musical instruments (Full set)</t>
  </si>
  <si>
    <t>Rental of chairs and tents</t>
  </si>
  <si>
    <t>Rental of game software (games on CDs, DVDs, Blue-ray discs, etc.);</t>
  </si>
  <si>
    <t>Rental of premises for rehearsals of amateur music groups</t>
  </si>
  <si>
    <t>Rental of premises for weddings and other celebrations.</t>
  </si>
  <si>
    <t>Repair of Laptop</t>
  </si>
  <si>
    <t>Repair of Mobile phone</t>
  </si>
  <si>
    <t>Repair of boat engines for sports</t>
  </si>
  <si>
    <t>Repair of clock</t>
  </si>
  <si>
    <t>Repair of garden tractor</t>
  </si>
  <si>
    <t>Repair of household appliances</t>
  </si>
  <si>
    <t>Repair of jewellery</t>
  </si>
  <si>
    <t>Repair of outboard motors</t>
  </si>
  <si>
    <t>Repair of smart TV</t>
  </si>
  <si>
    <t>Repair of watches</t>
  </si>
  <si>
    <t>Repair of water pump</t>
  </si>
  <si>
    <t>Reproductions of works of art and other ornaments</t>
  </si>
  <si>
    <t>Restaurant</t>
  </si>
  <si>
    <t>Ribbon</t>
  </si>
  <si>
    <t>Rice Cooker</t>
  </si>
  <si>
    <t>Rice With Side Dishe (1 Plate)</t>
  </si>
  <si>
    <t>Rim</t>
  </si>
  <si>
    <t>Roasted Groundnut</t>
  </si>
  <si>
    <t>Roof rack</t>
  </si>
  <si>
    <t>Royal</t>
  </si>
  <si>
    <t>Rubber gloves</t>
  </si>
  <si>
    <t>Rug</t>
  </si>
  <si>
    <t>SMA (Powdered milk)</t>
  </si>
  <si>
    <t>Safes</t>
  </si>
  <si>
    <t>Safety pins</t>
  </si>
  <si>
    <t>Salt sold loose</t>
  </si>
  <si>
    <t>Sandwiches</t>
  </si>
  <si>
    <t>Sardine Tin in vegetable oil</t>
  </si>
  <si>
    <t>Sardine in Tomato Sauce</t>
  </si>
  <si>
    <t>Sausages</t>
  </si>
  <si>
    <t>Saw</t>
  </si>
  <si>
    <t>Scarves</t>
  </si>
  <si>
    <t>School for children with learning difficulties</t>
  </si>
  <si>
    <t>School for the deaf</t>
  </si>
  <si>
    <t>Scissors</t>
  </si>
  <si>
    <t>Scouring powders</t>
  </si>
  <si>
    <t>Screwdriver</t>
  </si>
  <si>
    <t>Sculpture</t>
  </si>
  <si>
    <t>Semi-skimmed Milk</t>
  </si>
  <si>
    <t>Services paid to Musicians for private Entertainment</t>
  </si>
  <si>
    <t>Settin material</t>
  </si>
  <si>
    <t>Sewing machines</t>
  </si>
  <si>
    <t>Sewing needles</t>
  </si>
  <si>
    <t>Sewing of Mens' Suit</t>
  </si>
  <si>
    <t>Sewing of Mens'outfit ( Simple Khaftan)</t>
  </si>
  <si>
    <t>Sewing of Mens'outfit ( embroided  Khaftan)</t>
  </si>
  <si>
    <t>Sewing of bedsheet (service charges)</t>
  </si>
  <si>
    <t>Sewing of curtain (service charges)</t>
  </si>
  <si>
    <t>Shavers</t>
  </si>
  <si>
    <t>Shaving   foam</t>
  </si>
  <si>
    <t>Shaving  cream</t>
  </si>
  <si>
    <t>Sheep</t>
  </si>
  <si>
    <t>Shoe repair  (Women)</t>
  </si>
  <si>
    <t>Shoe repair  (men)</t>
  </si>
  <si>
    <t>Shoe repair (children)</t>
  </si>
  <si>
    <t>Shoe shine</t>
  </si>
  <si>
    <t>Shoes-Plastic (Nyambalastic)</t>
  </si>
  <si>
    <t>Shopping bag</t>
  </si>
  <si>
    <t>Short pasta (macaroni)</t>
  </si>
  <si>
    <t>Shovel</t>
  </si>
  <si>
    <t>Shrimps</t>
  </si>
  <si>
    <t>Sickles and secateur</t>
  </si>
  <si>
    <t>Simple Cookies</t>
  </si>
  <si>
    <t>Singlet</t>
  </si>
  <si>
    <t>Sir</t>
  </si>
  <si>
    <t>Skimmed milk</t>
  </si>
  <si>
    <t>Sliced white bread</t>
  </si>
  <si>
    <t>Slides (''scholl'' shoes)</t>
  </si>
  <si>
    <t>Slippers (rubber flpflop)</t>
  </si>
  <si>
    <t>Slotted spoon (Chinwaar)</t>
  </si>
  <si>
    <t>Small Pepper (fresh)</t>
  </si>
  <si>
    <t>Small grained rice (imported)</t>
  </si>
  <si>
    <t>Smocks</t>
  </si>
  <si>
    <t>Smoke detector</t>
  </si>
  <si>
    <t>Smoked Bonga</t>
  </si>
  <si>
    <t>Smoked Fish</t>
  </si>
  <si>
    <t>Snails</t>
  </si>
  <si>
    <t>Snuff</t>
  </si>
  <si>
    <t>Socks for girls</t>
  </si>
  <si>
    <t>Sofa Chair</t>
  </si>
  <si>
    <t>Soft drink bottle (Malta, Cocktail, Vimito)</t>
  </si>
  <si>
    <t>Soft drinks can (Coke, Sprite, Fanta)</t>
  </si>
  <si>
    <t>Softeners</t>
  </si>
  <si>
    <t>Sorrel (Bisap)</t>
  </si>
  <si>
    <t>Sound recording camera</t>
  </si>
  <si>
    <t>Sour cow milk</t>
  </si>
  <si>
    <t>Spade</t>
  </si>
  <si>
    <t>Spaghetti</t>
  </si>
  <si>
    <t>Spaghetti bolognaise</t>
  </si>
  <si>
    <t>Spanner</t>
  </si>
  <si>
    <t>Sparkling wine</t>
  </si>
  <si>
    <t>Spinach (KrenKren)</t>
  </si>
  <si>
    <t>Spring Matress</t>
  </si>
  <si>
    <t>Stain remover</t>
  </si>
  <si>
    <t>Standard lamps (stand lamps)</t>
  </si>
  <si>
    <t>Staplers</t>
  </si>
  <si>
    <t>Statistical Imputed rent</t>
  </si>
  <si>
    <t>Steamed or fried whole fish, with sides</t>
  </si>
  <si>
    <t>Steel wool</t>
  </si>
  <si>
    <t>Still camera</t>
  </si>
  <si>
    <t>String</t>
  </si>
  <si>
    <t>Subscription for Magazines and periodicals (home delivery);</t>
  </si>
  <si>
    <t>Subscription for Newspapers (home delivery);</t>
  </si>
  <si>
    <t>Subscription of game software and apps;</t>
  </si>
  <si>
    <t>Subscription to online streaming services</t>
  </si>
  <si>
    <t>Suitcase</t>
  </si>
  <si>
    <t>Sunflower oil</t>
  </si>
  <si>
    <t>Sunglasses</t>
  </si>
  <si>
    <t>Sweet and sour chicken</t>
  </si>
  <si>
    <t>Sweet bread</t>
  </si>
  <si>
    <t>Sweet potato</t>
  </si>
  <si>
    <t>Swimming pools</t>
  </si>
  <si>
    <t>Swimming pools(Ticket)</t>
  </si>
  <si>
    <t>T-Shirt (men)</t>
  </si>
  <si>
    <t>Table Knife</t>
  </si>
  <si>
    <t>Table Salt</t>
  </si>
  <si>
    <t>Table cloth</t>
  </si>
  <si>
    <t>Table napkin</t>
  </si>
  <si>
    <t>Tablecloths</t>
  </si>
  <si>
    <t>Tailoring charges for Womens' Dress (Simple Daggit)</t>
  </si>
  <si>
    <t>Tailoring charges for Womens' Dress (Simple Roba)</t>
  </si>
  <si>
    <t>Tailoring charges for trousers</t>
  </si>
  <si>
    <t>Tap head (Major)</t>
  </si>
  <si>
    <t>Tap head (Minor)</t>
  </si>
  <si>
    <t>Tapes for household use</t>
  </si>
  <si>
    <t>Taxi Fare ( Hired taxi)</t>
  </si>
  <si>
    <t>Taxi Fares (Shared Taxi, Fixed Route)</t>
  </si>
  <si>
    <t>Teddy-Bear</t>
  </si>
  <si>
    <t>Telephone GSM (local different network)</t>
  </si>
  <si>
    <t>Telephone GSM (local the same network)</t>
  </si>
  <si>
    <t>Tennis Racket</t>
  </si>
  <si>
    <t>Tennis ball</t>
  </si>
  <si>
    <t>Thermos Flask</t>
  </si>
  <si>
    <t>Ticket at Concert and Music venues</t>
  </si>
  <si>
    <t>Ticket for Football Betting</t>
  </si>
  <si>
    <t>Ticket for Football Game</t>
  </si>
  <si>
    <t>Tickets for Volleyball games</t>
  </si>
  <si>
    <t>Tickets for basket ball Games</t>
  </si>
  <si>
    <t>Tickets for football Game(International Games)</t>
  </si>
  <si>
    <t>Tickets for one kids play ground</t>
  </si>
  <si>
    <t>Tilapia</t>
  </si>
  <si>
    <t>Tiles (e.g. ceramic, porcelain, marble) (Minor)</t>
  </si>
  <si>
    <t>Tiles (e.g. ceramic, porcelain, marble)(Major)</t>
  </si>
  <si>
    <t>Tiling of Room (Major)</t>
  </si>
  <si>
    <t>Tiling of Room (Minor)</t>
  </si>
  <si>
    <t>Tin Cat food</t>
  </si>
  <si>
    <t>Tin Dog food</t>
  </si>
  <si>
    <t>Toilet  soap</t>
  </si>
  <si>
    <t>Toilet waters</t>
  </si>
  <si>
    <t>Tomato ketchup</t>
  </si>
  <si>
    <t>Tomatoes (fresh)</t>
  </si>
  <si>
    <t>Tonic, Schweppes</t>
  </si>
  <si>
    <t>Toothbrushes</t>
  </si>
  <si>
    <t>Towel</t>
  </si>
  <si>
    <t>Toy Car</t>
  </si>
  <si>
    <t>Track Suits</t>
  </si>
  <si>
    <t>Tradtional Games (wrestling games)</t>
  </si>
  <si>
    <t>Travel bag</t>
  </si>
  <si>
    <t>Trimming knive</t>
  </si>
  <si>
    <t>Tubers of plant</t>
  </si>
  <si>
    <t>Tuna Flakes in Tinned</t>
  </si>
  <si>
    <t>Twine</t>
  </si>
  <si>
    <t>UHT pasteurized, sterilized  milk</t>
  </si>
  <si>
    <t>Umbrella</t>
  </si>
  <si>
    <t>Vacuum cleaners</t>
  </si>
  <si>
    <t>Van fares</t>
  </si>
  <si>
    <t>Vegetable oil (Sold loose)</t>
  </si>
  <si>
    <t>Vermisel</t>
  </si>
  <si>
    <t>Video Game Computer;</t>
  </si>
  <si>
    <t>Video Game Software (download on omputers, tablets and smartphones)</t>
  </si>
  <si>
    <t>Video camera</t>
  </si>
  <si>
    <t>Vinegar</t>
  </si>
  <si>
    <t>Vinyl Floor Cover (linoleum ''tappeh'')</t>
  </si>
  <si>
    <t>Vita Malt</t>
  </si>
  <si>
    <t>WIFI Monthly Fee (Service Fee)</t>
  </si>
  <si>
    <t>Wall clock</t>
  </si>
  <si>
    <t>Wall paper paste (Major)</t>
  </si>
  <si>
    <t>Wall paper paste (Minor)</t>
  </si>
  <si>
    <t>Waste Bin</t>
  </si>
  <si>
    <t>Watchman (Security guard) monthly salary</t>
  </si>
  <si>
    <t>Water Charges</t>
  </si>
  <si>
    <t>Water Paints (Major)</t>
  </si>
  <si>
    <t>Water Paints (Minor)</t>
  </si>
  <si>
    <t>Water boilers</t>
  </si>
  <si>
    <t>Water heaters</t>
  </si>
  <si>
    <t>Water melon</t>
  </si>
  <si>
    <t>Water pump;</t>
  </si>
  <si>
    <t>Watering can</t>
  </si>
  <si>
    <t>Wheat flour</t>
  </si>
  <si>
    <t>Wheel balancing (labour cost)</t>
  </si>
  <si>
    <t>White Sugar (Cubes)</t>
  </si>
  <si>
    <t>White sugar (Powder)</t>
  </si>
  <si>
    <t>White wine</t>
  </si>
  <si>
    <t>Window Frame (Aluminium, Standard Window) (Major)</t>
  </si>
  <si>
    <t>Window Frame (Aluminium, Standard Window) (Minor)</t>
  </si>
  <si>
    <t>Window-cleaning products</t>
  </si>
  <si>
    <t>Wiring  Services (Major)</t>
  </si>
  <si>
    <t>Wiring  Services (Minor)</t>
  </si>
  <si>
    <t>Women's Full Shoes (flat shoes)</t>
  </si>
  <si>
    <t>Women's Full Shoes (party shoes)</t>
  </si>
  <si>
    <t>Women's Shoe (Charack, block heel)</t>
  </si>
  <si>
    <t>Women's Slippers (plastic)</t>
  </si>
  <si>
    <t>Women's Straight trouser</t>
  </si>
  <si>
    <t>Women's' sport shoes</t>
  </si>
  <si>
    <t>Wooden Double Bed</t>
  </si>
  <si>
    <t>Wooden Simple Bed</t>
  </si>
  <si>
    <t>Wooden Warddrobe</t>
  </si>
  <si>
    <t>Wrist watches</t>
  </si>
  <si>
    <t>Writing pad</t>
  </si>
  <si>
    <t>XXL drink</t>
  </si>
  <si>
    <t>Yeast</t>
  </si>
  <si>
    <t>Yokes</t>
  </si>
  <si>
    <t>Zips</t>
  </si>
  <si>
    <t>chain</t>
  </si>
  <si>
    <t>exercise books</t>
  </si>
  <si>
    <t>fees  for  the  issue    death  certificates</t>
  </si>
  <si>
    <t>fees  for  the  issue  of   National Identification card (Ecowas)</t>
  </si>
  <si>
    <t>fees  for  the  issue  of   Passport</t>
  </si>
  <si>
    <t>fireworks and rockets;</t>
  </si>
  <si>
    <t>flash attachment</t>
  </si>
  <si>
    <t>fluorescent lighting tube</t>
  </si>
  <si>
    <t>hand lamp</t>
  </si>
  <si>
    <t>kitchen tables</t>
  </si>
  <si>
    <t>life jackets</t>
  </si>
  <si>
    <t>marriage services.</t>
  </si>
  <si>
    <t>memorial services</t>
  </si>
  <si>
    <t>paper lantern;</t>
  </si>
  <si>
    <t>parcel delivery services of goods purchased online.</t>
  </si>
  <si>
    <t>payment for advertisements;</t>
  </si>
  <si>
    <t>payment for newspaper notices</t>
  </si>
  <si>
    <t>payment for photocopying</t>
  </si>
  <si>
    <t>payment for printing</t>
  </si>
  <si>
    <t>payment for residence permit</t>
  </si>
  <si>
    <t>payment for scanning</t>
  </si>
  <si>
    <t>payment to housing agents</t>
  </si>
  <si>
    <t>school for the visually impaired</t>
  </si>
  <si>
    <t>screws</t>
  </si>
  <si>
    <t>sewing threads</t>
  </si>
  <si>
    <t>shin guards</t>
  </si>
  <si>
    <t>shock absorbers</t>
  </si>
  <si>
    <t>spark plug,</t>
  </si>
  <si>
    <t>stakes and hoop segments for fencing and bordering</t>
  </si>
  <si>
    <t>subscription to play online games</t>
  </si>
  <si>
    <t>vacuum cleaner bags</t>
  </si>
  <si>
    <t>washers</t>
  </si>
  <si>
    <t>wood  charcoal;</t>
  </si>
  <si>
    <t xml:space="preserve"> Other   Cameras, (please specify)</t>
  </si>
  <si>
    <t xml:space="preserve"> Other   Equipment for sport , (please specify)</t>
  </si>
  <si>
    <t xml:space="preserve"> Other   Games, Toys and Hobbies, (please specify)</t>
  </si>
  <si>
    <t xml:space="preserve"> Other   Hire and Repair of Equipment for Sport, Camping and open-Air Recreation</t>
  </si>
  <si>
    <t xml:space="preserve"> Other   Recreational and Sporting Services, (please specify)</t>
  </si>
  <si>
    <t xml:space="preserve"> Other   Rental of Game Software and Subscription to online Games, (please speci</t>
  </si>
  <si>
    <t xml:space="preserve"> Other   Veterinary and other Services for Pets, (please specify)</t>
  </si>
  <si>
    <t xml:space="preserve"> Other   sporting services (S) , (please specify)</t>
  </si>
  <si>
    <t xml:space="preserve"> Other  Accessories for Photographic and Cinematographic Equipment, (please spec</t>
  </si>
  <si>
    <t xml:space="preserve"> Other  Celebration Articles, (please specify)</t>
  </si>
  <si>
    <t xml:space="preserve"> Other  Equipment for Camping and open-air Recreation, (please specify)</t>
  </si>
  <si>
    <t xml:space="preserve"> Other  Explicit Charges by Deposit-taking Corporations, (Please Specify)</t>
  </si>
  <si>
    <t xml:space="preserve"> Other  Games of chance , (please specify)</t>
  </si>
  <si>
    <t xml:space="preserve"> Other  Garden products , (please specify)</t>
  </si>
  <si>
    <t xml:space="preserve"> Other  Hire, Maintenance and Repair of other Major Durables for Recreation, (pl</t>
  </si>
  <si>
    <t xml:space="preserve"> Other  Life and Accident Insurance, (Please Specify)</t>
  </si>
  <si>
    <t xml:space="preserve"> Other  Personal transport insurance, (Please Specify)</t>
  </si>
  <si>
    <t xml:space="preserve"> Other  Plants, Seeds and Flowers, please specify</t>
  </si>
  <si>
    <t xml:space="preserve"> Other  Products for Pets and other Household Animals, (please specify)</t>
  </si>
  <si>
    <t xml:space="preserve"> Other  Tutoring, (Please Specify)</t>
  </si>
  <si>
    <t xml:space="preserve"> Other  Video Game Computers, Game consoles, Game apps and Software, (please spe</t>
  </si>
  <si>
    <t xml:space="preserve"> Other Accessories for personal transport equipment (Please Specify)</t>
  </si>
  <si>
    <t xml:space="preserve"> Other Audio-visual media , (please specify)</t>
  </si>
  <si>
    <t xml:space="preserve"> Other Bed linen and bedding (Please Specify)</t>
  </si>
  <si>
    <t xml:space="preserve"> Other Charcoal (Please Specify)</t>
  </si>
  <si>
    <t xml:space="preserve"> Other Education not Defined by Level , (Please Specify)</t>
  </si>
  <si>
    <t xml:space="preserve"> Other Electric appliances for personal care, (Please Specify)</t>
  </si>
  <si>
    <t xml:space="preserve"> Other Footwear for men (Please specify)</t>
  </si>
  <si>
    <t xml:space="preserve"> Other Fuels and lubricants for personal transport equipment(Please Specify)</t>
  </si>
  <si>
    <t xml:space="preserve"> Other Garments for men or boys (Please Specify)</t>
  </si>
  <si>
    <t xml:space="preserve"> Other Hire of personal transport equipment without driver  (Please Specify)</t>
  </si>
  <si>
    <t xml:space="preserve"> Other Holiday centres, camping sites, youth hostels and similar accommodation s</t>
  </si>
  <si>
    <t xml:space="preserve"> Other Hotels, Motels, Inns and similar Accommodation Services, (Please Specify)</t>
  </si>
  <si>
    <t xml:space="preserve"> Other Kitchen utensils and articles (Please Specify)</t>
  </si>
  <si>
    <t xml:space="preserve"> Other Lighting equipmen t(Please Specify)</t>
  </si>
  <si>
    <t xml:space="preserve"> Other Maintenance and repair of personal transport equipment (Please Specify)</t>
  </si>
  <si>
    <t xml:space="preserve"> Other Major kitchen appliances (Please Specify)</t>
  </si>
  <si>
    <t xml:space="preserve"> Other Miscellaneous accessories (Please Specify)</t>
  </si>
  <si>
    <t xml:space="preserve"> Other Motorized tools and equipment (Please Specify)</t>
  </si>
  <si>
    <t xml:space="preserve"> Other Non-motorized tools (Please Specify)</t>
  </si>
  <si>
    <t xml:space="preserve"> Other Parts for personal transport equipment (Please Specify)</t>
  </si>
  <si>
    <t xml:space="preserve"> Other Photographic Servicess, (please specify)</t>
  </si>
  <si>
    <t xml:space="preserve"> Other Remittances fees, (Please Specify)</t>
  </si>
  <si>
    <t xml:space="preserve"> Other Repair and hire of motorized and non-motorized tools and equipment(Please</t>
  </si>
  <si>
    <t xml:space="preserve"> Other Repair installation and hire of household appliances(Please Specify)</t>
  </si>
  <si>
    <t xml:space="preserve"> Other Repair, hire and sewing services of household textiles (S) (please specif</t>
  </si>
  <si>
    <t xml:space="preserve"> Other Security equipment (please Specify)</t>
  </si>
  <si>
    <t xml:space="preserve"> Other Services provided by Museums, libraries, and Cultural  Sites, (please spe</t>
  </si>
  <si>
    <t xml:space="preserve"> Other Sewage collection through sewer systems (Please Specify)</t>
  </si>
  <si>
    <t xml:space="preserve"> Other Tyres (Please Specify)</t>
  </si>
  <si>
    <t xml:space="preserve"> Other Wood fuel, including pellets and briquettes(Please Specify)</t>
  </si>
  <si>
    <t xml:space="preserve"> Other appliances, articles and products for personal care, Please Specify</t>
  </si>
  <si>
    <t>Transfert reçu en argent</t>
  </si>
  <si>
    <t>Transfert reçu en biens alimentaires</t>
  </si>
  <si>
    <t>Transfert reçu en biens non alimentaires</t>
  </si>
  <si>
    <t>Transfert reçu en service</t>
  </si>
  <si>
    <t xml:space="preserve">Maïs </t>
  </si>
  <si>
    <t>Maïs en épi frais</t>
  </si>
  <si>
    <t>Mil  (petit mil)</t>
  </si>
  <si>
    <t xml:space="preserve">Riz brisé local </t>
  </si>
  <si>
    <t>Riz importé (yebregh)</t>
  </si>
  <si>
    <t>Riz local blanc longs grains</t>
  </si>
  <si>
    <t>Sorgho blanc ou rouge</t>
  </si>
  <si>
    <t>Riz importé de luxe (Basmati)</t>
  </si>
  <si>
    <t>Couscous de blé importé</t>
  </si>
  <si>
    <t xml:space="preserve">Couscous local de blé </t>
  </si>
  <si>
    <t>Farine de blé</t>
  </si>
  <si>
    <t>Farine de maïs importée</t>
  </si>
  <si>
    <t>Farine de maïs local</t>
  </si>
  <si>
    <t>Farine de mil (petit mil)</t>
  </si>
  <si>
    <t>Farine de sorgho</t>
  </si>
  <si>
    <t>Farine industrielle</t>
  </si>
  <si>
    <t>Macaroni</t>
  </si>
  <si>
    <t>Pain de blé local artisanal</t>
  </si>
  <si>
    <t>Pain de blé industriel en baguette</t>
  </si>
  <si>
    <t>Pain d'orge industriel en baguette (pain pour diabétique)</t>
  </si>
  <si>
    <t xml:space="preserve">Beignet à base de farine de blé, fabrication traditionnelle </t>
  </si>
  <si>
    <t>Beignet de boulangerie à base de farine de blé</t>
  </si>
  <si>
    <t>Biscuit importé (biscuit, chips, frites de pomme de terre)</t>
  </si>
  <si>
    <t>Biscuit local (serghoule, …)</t>
  </si>
  <si>
    <t>Croissant simple ou ordinaire</t>
  </si>
  <si>
    <t>Pain au chocolat</t>
  </si>
  <si>
    <t>Pain au lait</t>
  </si>
  <si>
    <t>Gâteau traditionnelle</t>
  </si>
  <si>
    <t>Chips de pomme de terre</t>
  </si>
  <si>
    <t>Frite de pomme de terre</t>
  </si>
  <si>
    <t>Manioc frais en tubercule</t>
  </si>
  <si>
    <t>Patate douce fraiche</t>
  </si>
  <si>
    <t>Autres racines et tubercules</t>
  </si>
  <si>
    <t>Raisin sec</t>
  </si>
  <si>
    <t>Arachide décortiquée</t>
  </si>
  <si>
    <t>Arachide séchées en coques</t>
  </si>
  <si>
    <t>Tomates pelées</t>
  </si>
  <si>
    <t>Feuilles séchées de baobab (Taghya)</t>
  </si>
  <si>
    <t xml:space="preserve">Haricots secs niébé, </t>
  </si>
  <si>
    <t>Haricots tachetés</t>
  </si>
  <si>
    <t>Pois secs</t>
  </si>
  <si>
    <t>Lentille sèche (Leadess)</t>
  </si>
  <si>
    <t>Noix de Coco</t>
  </si>
  <si>
    <t>Autres légumineuses et noix</t>
  </si>
  <si>
    <t>Citron</t>
  </si>
  <si>
    <t>Mandarine</t>
  </si>
  <si>
    <t>Papayes</t>
  </si>
  <si>
    <t>Avocat</t>
  </si>
  <si>
    <t>Mangue greffée</t>
  </si>
  <si>
    <t>Mangue ordinaire</t>
  </si>
  <si>
    <t>Pastèque (Dellah)</t>
  </si>
  <si>
    <t xml:space="preserve"> Melon</t>
  </si>
  <si>
    <t xml:space="preserve">Pomme </t>
  </si>
  <si>
    <t xml:space="preserve">Prune </t>
  </si>
  <si>
    <t>Poire</t>
  </si>
  <si>
    <t>Raisin frais</t>
  </si>
  <si>
    <t>Pastèque (Vindu)</t>
  </si>
  <si>
    <t>Datte importée</t>
  </si>
  <si>
    <t xml:space="preserve">Datte locale fraiche </t>
  </si>
  <si>
    <t>Datte locale séchée</t>
  </si>
  <si>
    <t>Autres fruits</t>
  </si>
  <si>
    <t xml:space="preserve">Aubergine </t>
  </si>
  <si>
    <t xml:space="preserve">Tomates fraiches </t>
  </si>
  <si>
    <t>Concombre frais</t>
  </si>
  <si>
    <t>Navet</t>
  </si>
  <si>
    <t>Betterave rouge</t>
  </si>
  <si>
    <t>Courgette (Couz)</t>
  </si>
  <si>
    <t>Choux vert</t>
  </si>
  <si>
    <t>Feuilles fraîches d'oseille (bissab)</t>
  </si>
  <si>
    <t>Salade verte (laitue)</t>
  </si>
  <si>
    <t>Ciboulette (Feuille d'oignon)</t>
  </si>
  <si>
    <t>Olives</t>
  </si>
  <si>
    <t>Courge (Nadjé)</t>
  </si>
  <si>
    <t>Légumes combinées</t>
  </si>
  <si>
    <t>Autres légumes</t>
  </si>
  <si>
    <t>Aliments pour bébé à base de mélange de céréales</t>
  </si>
  <si>
    <t>Aliments de marque pour bébé à base de fruits</t>
  </si>
  <si>
    <t>Lait infantile (Nersie, …)</t>
  </si>
  <si>
    <t>Thé traditionnel préparé hors du ménage</t>
  </si>
  <si>
    <t>Café ou café express préparé hors du ménage</t>
  </si>
  <si>
    <t>Petit déjeuner complet</t>
  </si>
  <si>
    <t xml:space="preserve">Brochettes de viande, de poulet ou de poisson  </t>
  </si>
  <si>
    <t>Plat de riz, de spaghetti ou autres</t>
  </si>
  <si>
    <t xml:space="preserve">Poisson, poulet braisés ou steak </t>
  </si>
  <si>
    <t>Sandwich, hamburger ou Pizza</t>
  </si>
  <si>
    <t>Patte traditionnelle (aiche)</t>
  </si>
  <si>
    <t>Couscous de mil préparé (Bassi)</t>
  </si>
  <si>
    <t>Autres aliments préparés (couscous,  etc)</t>
  </si>
  <si>
    <t>Abats et tripes d'animaux</t>
  </si>
  <si>
    <t>Pattes ou tête de bœuf</t>
  </si>
  <si>
    <t xml:space="preserve">Viande de bœuf fraîche </t>
  </si>
  <si>
    <t>Viande de bœuf séchée</t>
  </si>
  <si>
    <t xml:space="preserve">Viande de mouton ou de chèvre </t>
  </si>
  <si>
    <t>Viande de chameau, fraîche avec os</t>
  </si>
  <si>
    <t>Côtelette de chameau,</t>
  </si>
  <si>
    <t>Autres viandes séchées (hors viande de beouf)</t>
  </si>
  <si>
    <t>Poulet complet congelé</t>
  </si>
  <si>
    <t>Cuisse de poulet congelé</t>
  </si>
  <si>
    <t>Poulet local sur pied</t>
  </si>
  <si>
    <t>Dinde congelé</t>
  </si>
  <si>
    <t>Saucisson de bœuf</t>
  </si>
  <si>
    <t>Capitaine frais</t>
  </si>
  <si>
    <t>Chinchard frais (Diai)</t>
  </si>
  <si>
    <t>Dorade frais (Kibarou)</t>
  </si>
  <si>
    <t>Sardinelles fraiches (Yayboye)</t>
  </si>
  <si>
    <t>Morue fraîche (Thiof)</t>
  </si>
  <si>
    <t>Poisson frais courbine (sigh)</t>
  </si>
  <si>
    <t>Poisson frais mulet (Demm)</t>
  </si>
  <si>
    <t>Poisson frais tassergal (N'goth)</t>
  </si>
  <si>
    <t>Langouste fraîche</t>
  </si>
  <si>
    <t>Chinchard (Diai) congelé</t>
  </si>
  <si>
    <t>Crevettes congelées</t>
  </si>
  <si>
    <t>Poisson salé, séché (Guedj)</t>
  </si>
  <si>
    <t xml:space="preserve">Œuf </t>
  </si>
  <si>
    <t>Lait concentré non sucré (Gloria)</t>
  </si>
  <si>
    <t>Lait concentré sucré en boîte (Nestlé, etc.)</t>
  </si>
  <si>
    <t>Lait demi écrémé</t>
  </si>
  <si>
    <t>Lait entier UHT (Rose)</t>
  </si>
  <si>
    <t>Lait frais pasteurisé  pour enfant</t>
  </si>
  <si>
    <t>Lait entier en poudre (Célia)</t>
  </si>
  <si>
    <t>Lait en poudre (Sevety)</t>
  </si>
  <si>
    <t>Lait frais de vache (badia, Lekhrif,Chailla…)</t>
  </si>
  <si>
    <t>Lait frais de chameau (Tiviski,Adress ;…..)</t>
  </si>
  <si>
    <t>Lait frais liquide non traité de vache</t>
  </si>
  <si>
    <t>Lait frais liquide non traité de chameau</t>
  </si>
  <si>
    <t>Crème fraiche locale</t>
  </si>
  <si>
    <t>Crème fraiche importée</t>
  </si>
  <si>
    <t>Fromage "la vache qui rit"</t>
  </si>
  <si>
    <t>Yaourt nature fabrication industrielle</t>
  </si>
  <si>
    <t>Yaourt aux fruits naturels</t>
  </si>
  <si>
    <t xml:space="preserve">Huile traditionnelle de vache (Edhen) </t>
  </si>
  <si>
    <t xml:space="preserve">Huile traditionnelle de chèvre/mouton (Edhen) </t>
  </si>
  <si>
    <t>Lait caillé (Rayeb)</t>
  </si>
  <si>
    <t xml:space="preserve">Huile raffinée d'arachide </t>
  </si>
  <si>
    <t xml:space="preserve">Huile raffinée de palme </t>
  </si>
  <si>
    <t xml:space="preserve">Huile raffinée de soja </t>
  </si>
  <si>
    <t xml:space="preserve">Huile raffinée d'olive </t>
  </si>
  <si>
    <t xml:space="preserve">Autres huiles végétales </t>
  </si>
  <si>
    <t>Sucres en cube</t>
  </si>
  <si>
    <t>Sucre en poudre blanc</t>
  </si>
  <si>
    <t xml:space="preserve">Bonbons </t>
  </si>
  <si>
    <t>Chewing-gum en paquet</t>
  </si>
  <si>
    <t>Cône de crème glacée</t>
  </si>
  <si>
    <t>Miel industriel raffiné vendu préemballé</t>
  </si>
  <si>
    <t>Menthe (Naana)</t>
  </si>
  <si>
    <t>Café</t>
  </si>
  <si>
    <t>Thé lipton</t>
  </si>
  <si>
    <t>Thé vert</t>
  </si>
  <si>
    <t>Boisson gazeuse en bouteille ou en boite</t>
  </si>
  <si>
    <t>Eau minérale locale ou importée</t>
  </si>
  <si>
    <t>Jus de fruit industriel</t>
  </si>
  <si>
    <t>Glaçon</t>
  </si>
  <si>
    <t>Jus d'oseille (Bissap)</t>
  </si>
  <si>
    <t>Jus de pain de seinges (Tejmakhet)</t>
  </si>
  <si>
    <t xml:space="preserve">Cigarette </t>
  </si>
  <si>
    <t>Cola (Gourou)</t>
  </si>
  <si>
    <t>Tabac pilé à priser (Chemm)</t>
  </si>
  <si>
    <t>Tabac pilé à fumer (Meneija)</t>
  </si>
  <si>
    <t>Ananas en conserve</t>
  </si>
  <si>
    <t>Petit poids</t>
  </si>
  <si>
    <t>Macédoine</t>
  </si>
  <si>
    <t>Autres conserve de légumes ou de fruits</t>
  </si>
  <si>
    <t xml:space="preserve">Boite de sardine </t>
  </si>
  <si>
    <t>Boite de thon</t>
  </si>
  <si>
    <t>Ail frais décortiqué</t>
  </si>
  <si>
    <t>Cube maggi</t>
  </si>
  <si>
    <t xml:space="preserve">Céleri  </t>
  </si>
  <si>
    <t>Concentré de tomate en boite importé</t>
  </si>
  <si>
    <t>Persil (Ghazbour)</t>
  </si>
  <si>
    <t>Piment rouge en poudre</t>
  </si>
  <si>
    <t>Piment rouge frais (Kani)</t>
  </si>
  <si>
    <t>Poivre sec piléf</t>
  </si>
  <si>
    <t>Sel en cristaux</t>
  </si>
  <si>
    <t>Sel fin en poudre</t>
  </si>
  <si>
    <t xml:space="preserve">Vinaigre </t>
  </si>
  <si>
    <t>Jeux vidéo</t>
  </si>
  <si>
    <t>Ballon et autres jouets d'enfants</t>
  </si>
  <si>
    <t>Services récréatifs et culturels</t>
  </si>
  <si>
    <t>Journal hebdomadaire privé local</t>
  </si>
  <si>
    <t>Journaux, magazines et périodiques internationaux</t>
  </si>
  <si>
    <t>Cahier ordinaire</t>
  </si>
  <si>
    <t>Livres et articles de papeterie</t>
  </si>
  <si>
    <t>Crayon ordinaire</t>
  </si>
  <si>
    <t>Stylos</t>
  </si>
  <si>
    <t>Brosse à cheveux</t>
  </si>
  <si>
    <t xml:space="preserve">Lame de rasoir </t>
  </si>
  <si>
    <t xml:space="preserve">Rasoir jetable </t>
  </si>
  <si>
    <t>Couches pour bébés</t>
  </si>
  <si>
    <t>Déodorant corporel</t>
  </si>
  <si>
    <t>Mouchoir en papier jetable, clinex</t>
  </si>
  <si>
    <t>Papier hygiénique</t>
  </si>
  <si>
    <t>Parfum</t>
  </si>
  <si>
    <t>Eau de toilette (Lotion corporelle)</t>
  </si>
  <si>
    <t>Pommade en crème</t>
  </si>
  <si>
    <t xml:space="preserve">Pommade pour les cheveux </t>
  </si>
  <si>
    <t>Poudre de maquillage</t>
  </si>
  <si>
    <t>Rouge à lèvre</t>
  </si>
  <si>
    <t>Savon de toilette non parfumé</t>
  </si>
  <si>
    <t>Savon de toilette parfumé</t>
  </si>
  <si>
    <t xml:space="preserve">Shampoing </t>
  </si>
  <si>
    <t>Vernis à ongles</t>
  </si>
  <si>
    <t>Huile pour bébé</t>
  </si>
  <si>
    <t>Poudre pour bébé</t>
  </si>
  <si>
    <t>Autres articles personnels</t>
  </si>
  <si>
    <t xml:space="preserve">Chargement d'une bouteille de gaz </t>
  </si>
  <si>
    <t xml:space="preserve">Pétrole lampant </t>
  </si>
  <si>
    <t>Charbon de bois</t>
  </si>
  <si>
    <t>Bois de chauffage</t>
  </si>
  <si>
    <t>Ampoule ordinaire</t>
  </si>
  <si>
    <t>Ampoule (économique)</t>
  </si>
  <si>
    <t>Pile électrique pour torche</t>
  </si>
  <si>
    <t>Pile électrique pour télécommande</t>
  </si>
  <si>
    <t>Briquet</t>
  </si>
  <si>
    <t>Balai en plastique</t>
  </si>
  <si>
    <t>Bougie ordinaire</t>
  </si>
  <si>
    <t xml:space="preserve">Eau de Javel en bouteille </t>
  </si>
  <si>
    <t xml:space="preserve">Détergent liquide </t>
  </si>
  <si>
    <t>Eponge ou tampon métallique (josse)</t>
  </si>
  <si>
    <t>Eponge naturelle</t>
  </si>
  <si>
    <t>Savon de ménage en liquide</t>
  </si>
  <si>
    <t>Savon de ménage en morceaux, fabrication industrielle</t>
  </si>
  <si>
    <t>Savon de ménage en poudre (Omo)</t>
  </si>
  <si>
    <t>Réparation des articles ménagers</t>
  </si>
  <si>
    <t>Services domestiques (chauffeurs, boys, gardiens, autres domestiques),</t>
  </si>
  <si>
    <t>Essence</t>
  </si>
  <si>
    <t>Gas-oil</t>
  </si>
  <si>
    <t>Transport urbain (taxi, bus)</t>
  </si>
  <si>
    <t>Transport inter (villes , localités)</t>
  </si>
  <si>
    <t>Autre type de transport (charrette, ...)</t>
  </si>
  <si>
    <t xml:space="preserve">Huile de moteur </t>
  </si>
  <si>
    <t>Cartouche à huile</t>
  </si>
  <si>
    <t>Cartouche à gas-oil</t>
  </si>
  <si>
    <t>Filtre à air</t>
  </si>
  <si>
    <t>Lavage auto  station service</t>
  </si>
  <si>
    <t>Lavage auto chez particulier</t>
  </si>
  <si>
    <t>Vidange d'une voiture</t>
  </si>
  <si>
    <t xml:space="preserve">Coiffure moderne pour dame </t>
  </si>
  <si>
    <t>Coiffure pour homme dans un salon de coiffure</t>
  </si>
  <si>
    <t>Défrisage des cheveux dans un salon de coiffure</t>
  </si>
  <si>
    <t>Henna</t>
  </si>
  <si>
    <t>Soins de visage</t>
  </si>
  <si>
    <t>Coiffure pour enfants</t>
  </si>
  <si>
    <t>Hammam</t>
  </si>
  <si>
    <t>Lavage de chemise, boubou et pantalon traditionnel (Sirwal)</t>
  </si>
  <si>
    <t xml:space="preserve">Pressing de chemise, veste ou costume </t>
  </si>
  <si>
    <t>Pressing de boubou et pantalon</t>
  </si>
  <si>
    <t>Pressing de voile et robe de femme</t>
  </si>
  <si>
    <t>ramassage des ordures</t>
  </si>
  <si>
    <t>Vidange des fosses</t>
  </si>
  <si>
    <t>Autres volailles domestiques</t>
  </si>
  <si>
    <t>Oiseaux sauvages (gibiers)</t>
  </si>
  <si>
    <t>Viande de chasse</t>
  </si>
  <si>
    <t>Crustacés</t>
  </si>
  <si>
    <t>Produits animaux (peau, etc.)</t>
  </si>
  <si>
    <t>Gomme arabique</t>
  </si>
  <si>
    <t>Bois de chauffe</t>
  </si>
  <si>
    <t>Fruits (jujubes, pain de singe, etc.)</t>
  </si>
  <si>
    <t>Autres produits de cueillette</t>
  </si>
  <si>
    <t>Consultation dans un établissement public</t>
  </si>
  <si>
    <t>Consultation dans une clinique privée/ cabinet privé</t>
  </si>
  <si>
    <t>Consultation chez le tradipraticien/guérisseur</t>
  </si>
  <si>
    <t>Frais d'analyses médicales et de radiologie dans un hôpital public</t>
  </si>
  <si>
    <t>Frais d'analyses médicales et de radiologie dans une clinique privée</t>
  </si>
  <si>
    <t xml:space="preserve">Transport urbain </t>
  </si>
  <si>
    <t>Transport inter (villes, localités)</t>
  </si>
  <si>
    <t>Aspégic formes orales</t>
  </si>
  <si>
    <t>Amoxicilline sirop 125 et 250 mg</t>
  </si>
  <si>
    <t>Clamoxyl 500 mg gélules</t>
  </si>
  <si>
    <t xml:space="preserve">Amoxicilline 500 mg plaquette de 10 gélules </t>
  </si>
  <si>
    <t>Serum glucosé 5 %, flacon de 500 ml</t>
  </si>
  <si>
    <t>Ibuprofène  pédiatrique 100 mg/ 5 ml suspension buvable</t>
  </si>
  <si>
    <t>Paracétamol adulte comprimé effervescent (Efferalgan)</t>
  </si>
  <si>
    <t>Metronidazole (Flagyl)</t>
  </si>
  <si>
    <t>Pénicilline G</t>
  </si>
  <si>
    <t>Quinimax injectable</t>
  </si>
  <si>
    <t>Quinine en comprimés</t>
  </si>
  <si>
    <t>Autres médicaments modernes</t>
  </si>
  <si>
    <t>Médicaments traditionnels contre les maux de ventre</t>
  </si>
  <si>
    <t>Autre médicaments traditionnels</t>
  </si>
  <si>
    <t>Hospitalisation dans un hôpital public</t>
  </si>
  <si>
    <t>Observation dans un  autreetabllisement de santé</t>
  </si>
  <si>
    <t>Hospitalisation dans une clinique privée</t>
  </si>
  <si>
    <t>Services dentaires</t>
  </si>
  <si>
    <t>Services des auxiliaires médicaux (Piqûre intramusculaire, pansement,…)</t>
  </si>
  <si>
    <t>Produits médicaux divers</t>
  </si>
  <si>
    <t>Achat des cartes de crédit</t>
  </si>
  <si>
    <t>Achat des cartes SIM</t>
  </si>
  <si>
    <t>Frais de connexion à Internet sans fil à internet (Clé  internet)</t>
  </si>
  <si>
    <t>Frais de connexion à Internet sans fil à internet (boite de connexion wifi)</t>
  </si>
  <si>
    <t>Frais de connexion à Internet par ligne fixe</t>
  </si>
  <si>
    <t>Frais de connexion dans un Cybercafé</t>
  </si>
  <si>
    <t xml:space="preserve">Dépenses d’abonnement télé </t>
  </si>
  <si>
    <t>Dépense d’eau achetée en baril/bidon</t>
  </si>
  <si>
    <t>Dépense de consommation d'eau (Abonnement régulier )</t>
  </si>
  <si>
    <t>Dépense d’eau achetée en citerne</t>
  </si>
  <si>
    <t>Dépenses d’électricité</t>
  </si>
  <si>
    <t>Dépenses  du carburant pour groupe électrogène</t>
  </si>
  <si>
    <t>Dépenses pour énergie solaire</t>
  </si>
  <si>
    <t>Loyer effectif</t>
  </si>
  <si>
    <t>Loyer imputé</t>
  </si>
  <si>
    <t>Boisson pour funérailles/deuils</t>
  </si>
  <si>
    <t>Boucles d'oreille</t>
  </si>
  <si>
    <t xml:space="preserve">Montre </t>
  </si>
  <si>
    <t xml:space="preserve">Bague dame </t>
  </si>
  <si>
    <t>Vaisselle, Verrerie</t>
  </si>
  <si>
    <t>Autres ustensiles de cuisine</t>
  </si>
  <si>
    <t>Autres articles de ménage</t>
  </si>
  <si>
    <t>Auto radio à cassette</t>
  </si>
  <si>
    <t>Radio cassette simple ou Magnétophone</t>
  </si>
  <si>
    <t>Réchaud à gaz</t>
  </si>
  <si>
    <t>Salon en matelas</t>
  </si>
  <si>
    <t>Couverture en acrylique</t>
  </si>
  <si>
    <t>Matelas mousse</t>
  </si>
  <si>
    <t>Nappes de table</t>
  </si>
  <si>
    <t>Lampe à pétrole</t>
  </si>
  <si>
    <t>Torche, lampe de poche</t>
  </si>
  <si>
    <t>Revêtement de sol (Michwara)</t>
  </si>
  <si>
    <t>Revêtement de sol (Mouquette, tapis)</t>
  </si>
  <si>
    <t xml:space="preserve">Rideau </t>
  </si>
  <si>
    <t>Armoire en bois</t>
  </si>
  <si>
    <t>Lit en bois</t>
  </si>
  <si>
    <t>Miroir</t>
  </si>
  <si>
    <t>Climatiseur</t>
  </si>
  <si>
    <t>Ventilateur sur piédestal</t>
  </si>
  <si>
    <t>Mixeur à main  (Moulinex, …)</t>
  </si>
  <si>
    <t>Autres meubles</t>
  </si>
  <si>
    <t xml:space="preserve">Serviette de toilette </t>
  </si>
  <si>
    <t>Poste de télévision</t>
  </si>
  <si>
    <t xml:space="preserve">Poste téléphonique fixe </t>
  </si>
  <si>
    <t>Téléphone  mobile haut de gamme (Galaxi)</t>
  </si>
  <si>
    <t>Téléphone mobile de gamme moyenne</t>
  </si>
  <si>
    <t>Téléphone  mobile bas de gamme</t>
  </si>
  <si>
    <t>Réparation du matériel de téléphonie et de télécopie</t>
  </si>
  <si>
    <t>Antenne de télévision (parabolique)</t>
  </si>
  <si>
    <t>Récepteur parabolique</t>
  </si>
  <si>
    <t>Réfrigérateur-congélateur</t>
  </si>
  <si>
    <t>Cuisinière à gaz</t>
  </si>
  <si>
    <t>Brouette</t>
  </si>
  <si>
    <t>Cadenas</t>
  </si>
  <si>
    <t>Pelle</t>
  </si>
  <si>
    <t xml:space="preserve">Rallonge de multiprise électrique </t>
  </si>
  <si>
    <t>Serrure</t>
  </si>
  <si>
    <t>Balai traditionnel</t>
  </si>
  <si>
    <t>Cirage en pâte</t>
  </si>
  <si>
    <t>Brosse de ménage</t>
  </si>
  <si>
    <t>Insecticide liquide à pulvériser</t>
  </si>
  <si>
    <t>Serpillère</t>
  </si>
  <si>
    <t>Insecticide à brûler ou Tortillon anti-moustique</t>
  </si>
  <si>
    <t>Autres</t>
  </si>
  <si>
    <t xml:space="preserve">Ciment </t>
  </si>
  <si>
    <t>Fer à béton</t>
  </si>
  <si>
    <t>Zinc</t>
  </si>
  <si>
    <t xml:space="preserve">Brique </t>
  </si>
  <si>
    <t>Chaux vive</t>
  </si>
  <si>
    <t>Peinture</t>
  </si>
  <si>
    <t>Carrelage</t>
  </si>
  <si>
    <t>Bois chevron</t>
  </si>
  <si>
    <t>Porte, fenêtre</t>
  </si>
  <si>
    <t>Feuille de contreplaqué</t>
  </si>
  <si>
    <t>Tuyaux PVC</t>
  </si>
  <si>
    <t>Main d'œuvre pour réparation courante de logement</t>
  </si>
  <si>
    <t>Autre produit d'entretien et de réparation de logement</t>
  </si>
  <si>
    <t>Chaussure homme</t>
  </si>
  <si>
    <t>Chaussure femme</t>
  </si>
  <si>
    <t>Chaussure enfant</t>
  </si>
  <si>
    <t>Vêtements hommes</t>
  </si>
  <si>
    <t>Vêtements femmes</t>
  </si>
  <si>
    <t>Vêtements enfants</t>
  </si>
  <si>
    <t>Tenues scolaires pour enfants</t>
  </si>
  <si>
    <t xml:space="preserve">Tissus pour vêtements </t>
  </si>
  <si>
    <t>Confection vêtement hommes</t>
  </si>
  <si>
    <t>Confection vêtement femmes</t>
  </si>
  <si>
    <t>Confection vêtement pour enfants</t>
  </si>
  <si>
    <t>Achat d'une bouteille vide de gaz</t>
  </si>
  <si>
    <t>Automobile neuf tout-terrain</t>
  </si>
  <si>
    <t>Automobile d'occasion tout-terrain</t>
  </si>
  <si>
    <t xml:space="preserve">Petit véhicule neuf </t>
  </si>
  <si>
    <t xml:space="preserve">Petit véhicule d'occasion </t>
  </si>
  <si>
    <t>Cycle, Motocycle et véhicule à traction animale (Charrette)</t>
  </si>
  <si>
    <t>Pièces détachées automobiles</t>
  </si>
  <si>
    <t>Pièces détachées cycle et motocycle</t>
  </si>
  <si>
    <t>Réparation des véhicules</t>
  </si>
  <si>
    <t>Transport aérien</t>
  </si>
  <si>
    <t>Matériel, photographique et de traitement de l'information</t>
  </si>
  <si>
    <t>Dépense d’hôtel, auberge</t>
  </si>
  <si>
    <t>Frais d’inscription</t>
  </si>
  <si>
    <t>Frais de scolarité</t>
  </si>
  <si>
    <t>Cours particuliers</t>
  </si>
  <si>
    <t>Livres</t>
  </si>
  <si>
    <t>Fournitures</t>
  </si>
  <si>
    <t>Côtisation</t>
  </si>
  <si>
    <t>Transport scolaire</t>
  </si>
  <si>
    <t>Autres dépenses scolaires non-spécifiées</t>
  </si>
  <si>
    <t>2_digit</t>
  </si>
  <si>
    <t>3_digit</t>
  </si>
  <si>
    <t>food and non-alcoholic beverages</t>
  </si>
  <si>
    <t>food</t>
  </si>
  <si>
    <t>non-alcoholic beverages</t>
  </si>
  <si>
    <t>services for processing primary goods for food and non-alcoholic beverages</t>
  </si>
  <si>
    <t>alcoholic beverages, tabacco and narcotics</t>
  </si>
  <si>
    <t>alcoholic beverages, tobacco and narcotics</t>
  </si>
  <si>
    <t>alcohol production services</t>
  </si>
  <si>
    <t>tobacco</t>
  </si>
  <si>
    <t>narcotics</t>
  </si>
  <si>
    <t>clothing and foodwear</t>
  </si>
  <si>
    <t>clothing</t>
  </si>
  <si>
    <t>foodwear</t>
  </si>
  <si>
    <t>housing, water, electricity, gas and other fuels</t>
  </si>
  <si>
    <t>actual rentals for housing</t>
  </si>
  <si>
    <t>imputed rental for housing</t>
  </si>
  <si>
    <t>maintenance, repair and security of the dwelling</t>
  </si>
  <si>
    <t>water supply and miscellaneous services relating to the dwelling</t>
  </si>
  <si>
    <t>electricity, gas and other fuels</t>
  </si>
  <si>
    <t>furnishings, household equipment and routine household maintenance</t>
  </si>
  <si>
    <t>furniture, furnishings, and loose carpets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</si>
  <si>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</si>
  <si>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</si>
  <si>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</si>
  <si>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</si>
  <si>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</si>
  <si>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medicine and health products</t>
  </si>
  <si>
    <t>outpatient care services</t>
  </si>
  <si>
    <t>inpatient care services</t>
  </si>
  <si>
    <t>other health services</t>
  </si>
  <si>
    <t>transport</t>
  </si>
  <si>
    <t>purchase of vehicles</t>
  </si>
  <si>
    <t>operation of personal transport equipment</t>
  </si>
  <si>
    <t>passenger transport services</t>
  </si>
  <si>
    <t>transport service of goods</t>
  </si>
  <si>
    <t>information and comunication</t>
  </si>
  <si>
    <t>information and comunication equipment</t>
  </si>
  <si>
    <t>softwares excluding games</t>
  </si>
  <si>
    <t>information and comunication services</t>
  </si>
  <si>
    <t>recreation, sport and culture</t>
  </si>
  <si>
    <t>recreational durables</t>
  </si>
  <si>
    <t>other recreational goods</t>
  </si>
  <si>
    <t>garden products and pets</t>
  </si>
  <si>
    <t>recreational services</t>
  </si>
  <si>
    <t>cultural goods</t>
  </si>
  <si>
    <t>cultural services</t>
  </si>
  <si>
    <t>newspapers books and stationery</t>
  </si>
  <si>
    <t>package holidays</t>
  </si>
  <si>
    <t>Education services</t>
  </si>
  <si>
    <t>early childhood and primary education</t>
  </si>
  <si>
    <t>secondary education</t>
  </si>
  <si>
    <t>post-secondary education</t>
  </si>
  <si>
    <t>tertiary education</t>
  </si>
  <si>
    <t>education not defined by level</t>
  </si>
  <si>
    <t>restuarants and accommodation services</t>
  </si>
  <si>
    <t>food and beverage serving services</t>
  </si>
  <si>
    <t>accommodation services</t>
  </si>
  <si>
    <t>insurance and financial services</t>
  </si>
  <si>
    <t>Insurance</t>
  </si>
  <si>
    <t>Financial Services</t>
  </si>
  <si>
    <t>Personal care, social protection and miscellaneous goods and service</t>
  </si>
  <si>
    <t xml:space="preserve">Personal care </t>
  </si>
  <si>
    <t>other personal effects</t>
  </si>
  <si>
    <t>policy_lab</t>
  </si>
  <si>
    <t>program</t>
  </si>
  <si>
    <t>program_lab</t>
  </si>
  <si>
    <t>Simulate</t>
  </si>
  <si>
    <t>allocation_by</t>
  </si>
  <si>
    <t>allocation_methodology</t>
  </si>
  <si>
    <t>type_rate</t>
  </si>
  <si>
    <t>Amount</t>
  </si>
  <si>
    <t>Indirect Effects</t>
  </si>
  <si>
    <t>multiple_users</t>
  </si>
  <si>
    <t>tranches</t>
  </si>
  <si>
    <t>type_tariff</t>
  </si>
  <si>
    <t>targeting</t>
  </si>
  <si>
    <t>name</t>
  </si>
  <si>
    <t>income_tax_1</t>
  </si>
  <si>
    <t>Impôt sur les traitements et salaires (ITS)</t>
  </si>
  <si>
    <t>Yes</t>
  </si>
  <si>
    <t>Individual</t>
  </si>
  <si>
    <t>simulation</t>
  </si>
  <si>
    <t>Ad-valorem</t>
  </si>
  <si>
    <t>one</t>
  </si>
  <si>
    <t>yes</t>
  </si>
  <si>
    <t>progressif</t>
  </si>
  <si>
    <t>income_tax_3</t>
  </si>
  <si>
    <t>Impôt foncier</t>
  </si>
  <si>
    <t>Household</t>
  </si>
  <si>
    <t>no</t>
  </si>
  <si>
    <t>ss_contrib_pub</t>
  </si>
  <si>
    <t>CNAM</t>
  </si>
  <si>
    <t>No</t>
  </si>
  <si>
    <t>imputation</t>
  </si>
  <si>
    <t>ss_contrib_pri</t>
  </si>
  <si>
    <t>CNSS</t>
  </si>
  <si>
    <t>ss_ben_old</t>
  </si>
  <si>
    <t>Pension Ancienne</t>
  </si>
  <si>
    <t>ss_ben_other</t>
  </si>
  <si>
    <t>Pension Autre</t>
  </si>
  <si>
    <t>Specific rate</t>
  </si>
  <si>
    <t>Per capita</t>
  </si>
  <si>
    <t>region</t>
  </si>
  <si>
    <t>wilaya</t>
  </si>
  <si>
    <t>Transferts alimentaires</t>
  </si>
  <si>
    <t>Programme de réaction aux chocs</t>
  </si>
  <si>
    <t>am_prog_4</t>
  </si>
  <si>
    <t>Programme d'alimentation scolaire</t>
  </si>
  <si>
    <t>Accises</t>
  </si>
  <si>
    <t>Purchases</t>
  </si>
  <si>
    <t>Droits de douane</t>
  </si>
  <si>
    <t>TVA_direct</t>
  </si>
  <si>
    <t>Effet direct de la TVA</t>
  </si>
  <si>
    <t>TVA_indirect</t>
  </si>
  <si>
    <t>Effet indirect de la TVA</t>
  </si>
  <si>
    <t>Sector</t>
  </si>
  <si>
    <t>Elec. Effet direct</t>
  </si>
  <si>
    <t>multiple</t>
  </si>
  <si>
    <t>block</t>
  </si>
  <si>
    <t>Elec. Effet indirect</t>
  </si>
  <si>
    <t>Carburant. Effet direct</t>
  </si>
  <si>
    <t>Carburant. Effet indirect</t>
  </si>
  <si>
    <t>subsidy_emel_direct</t>
  </si>
  <si>
    <t>Temwine</t>
  </si>
  <si>
    <t>subsidy_inag_direct</t>
  </si>
  <si>
    <t>Intrants agricoles</t>
  </si>
  <si>
    <t>Jardin d'enfants</t>
  </si>
  <si>
    <t>Per total</t>
  </si>
  <si>
    <t>milieu</t>
  </si>
  <si>
    <t>Primaire</t>
  </si>
  <si>
    <t>Secondaire</t>
  </si>
  <si>
    <t>Lycée</t>
  </si>
  <si>
    <t>Université</t>
  </si>
  <si>
    <t>Santé 1</t>
  </si>
  <si>
    <t>ssc_public</t>
  </si>
  <si>
    <t>Health Public emp.</t>
  </si>
  <si>
    <t>ssc_private</t>
  </si>
  <si>
    <t>Health Private emp.</t>
  </si>
  <si>
    <t>family_alloc</t>
  </si>
  <si>
    <t>Family allocation</t>
  </si>
  <si>
    <t>risk_insurance</t>
  </si>
  <si>
    <t>Risk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</si>
</sst>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FF0000"/>
      <name val="Garamond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0D498"/>
        <bgColor rgb="FF000000"/>
      </patternFill>
    </fill>
    <fill>
      <patternFill patternType="solid">
        <fgColor rgb="FFB9D9A3"/>
        <bgColor rgb="FF000000"/>
      </patternFill>
    </fill>
    <fill>
      <patternFill patternType="solid">
        <fgColor rgb="FFC0DD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8C0E4"/>
        <bgColor rgb="FF000000"/>
      </patternFill>
    </fill>
    <fill>
      <patternFill patternType="solid">
        <fgColor rgb="FFA5C8E7"/>
        <bgColor rgb="FF000000"/>
      </patternFill>
    </fill>
    <fill>
      <patternFill patternType="solid">
        <fgColor rgb="FFB3D0EB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846B0"/>
        <bgColor rgb="FF000000"/>
      </patternFill>
    </fill>
    <fill>
      <patternFill patternType="solid">
        <fgColor rgb="FFAD80D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6D9F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8F4DB"/>
        <bgColor indexed="64"/>
      </patternFill>
    </fill>
    <fill>
      <patternFill patternType="solid">
        <fgColor rgb="FFFFB3FF"/>
        <bgColor indexed="64"/>
      </patternFill>
    </fill>
    <fill>
      <patternFill patternType="solid">
        <fgColor rgb="FFFFDB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00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</cellStyleXfs>
  <cellXfs count="76">
    <xf numFmtId="0" fontId="0" fillId="0" borderId="0" xfId="0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/>
    <xf numFmtId="0" fontId="9" fillId="0" borderId="0" xfId="0" applyFont="1"/>
    <xf numFmtId="0" fontId="0" fillId="5" borderId="0" xfId="0" applyFill="1"/>
    <xf numFmtId="0" fontId="9" fillId="0" borderId="0" xfId="0" applyFont="1" applyAlignment="1">
      <alignment horizontal="left"/>
    </xf>
    <xf numFmtId="0" fontId="7" fillId="3" borderId="0" xfId="0" applyFont="1" applyFill="1"/>
    <xf numFmtId="0" fontId="7" fillId="4" borderId="0" xfId="0" applyFont="1" applyFill="1"/>
    <xf numFmtId="0" fontId="10" fillId="0" borderId="0" xfId="0" applyFont="1"/>
    <xf numFmtId="2" fontId="7" fillId="4" borderId="0" xfId="0" applyNumberFormat="1" applyFont="1" applyFill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0" fontId="9" fillId="11" borderId="0" xfId="0" applyFont="1" applyFill="1"/>
    <xf numFmtId="0" fontId="9" fillId="12" borderId="0" xfId="0" applyFont="1" applyFill="1"/>
    <xf numFmtId="0" fontId="9" fillId="13" borderId="0" xfId="0" applyFont="1" applyFill="1"/>
    <xf numFmtId="0" fontId="9" fillId="4" borderId="0" xfId="0" applyFont="1" applyFill="1"/>
    <xf numFmtId="0" fontId="9" fillId="14" borderId="0" xfId="0" applyFont="1" applyFill="1"/>
    <xf numFmtId="0" fontId="9" fillId="15" borderId="0" xfId="0" applyFont="1" applyFill="1"/>
    <xf numFmtId="0" fontId="9" fillId="16" borderId="0" xfId="0" applyFont="1" applyFill="1"/>
    <xf numFmtId="0" fontId="9" fillId="17" borderId="0" xfId="0" applyFont="1" applyFill="1"/>
    <xf numFmtId="0" fontId="9" fillId="18" borderId="0" xfId="0" applyFont="1" applyFill="1"/>
    <xf numFmtId="0" fontId="9" fillId="19" borderId="0" xfId="0" applyFont="1" applyFill="1"/>
    <xf numFmtId="0" fontId="9" fillId="20" borderId="0" xfId="0" applyFont="1" applyFill="1"/>
    <xf numFmtId="0" fontId="9" fillId="21" borderId="0" xfId="0" applyFont="1" applyFill="1"/>
    <xf numFmtId="0" fontId="9" fillId="22" borderId="0" xfId="0" applyFont="1" applyFill="1"/>
    <xf numFmtId="0" fontId="9" fillId="23" borderId="0" xfId="0" applyFont="1" applyFill="1"/>
    <xf numFmtId="0" fontId="9" fillId="24" borderId="0" xfId="0" applyFont="1" applyFill="1"/>
    <xf numFmtId="0" fontId="11" fillId="25" borderId="0" xfId="0" applyFont="1" applyFill="1"/>
    <xf numFmtId="0" fontId="0" fillId="0" borderId="1" xfId="0" applyBorder="1"/>
    <xf numFmtId="0" fontId="0" fillId="0" borderId="2" xfId="0" applyBorder="1"/>
    <xf numFmtId="0" fontId="9" fillId="0" borderId="2" xfId="0" applyFont="1" applyBorder="1"/>
    <xf numFmtId="0" fontId="0" fillId="5" borderId="3" xfId="0" applyFill="1" applyBorder="1"/>
    <xf numFmtId="0" fontId="0" fillId="0" borderId="4" xfId="0" applyBorder="1"/>
    <xf numFmtId="0" fontId="0" fillId="5" borderId="5" xfId="0" applyFill="1" applyBorder="1"/>
    <xf numFmtId="0" fontId="0" fillId="0" borderId="6" xfId="0" applyBorder="1"/>
    <xf numFmtId="0" fontId="0" fillId="0" borderId="7" xfId="0" applyBorder="1"/>
    <xf numFmtId="0" fontId="9" fillId="0" borderId="7" xfId="0" applyFont="1" applyBorder="1"/>
    <xf numFmtId="0" fontId="0" fillId="5" borderId="8" xfId="0" applyFill="1" applyBorder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9" fillId="35" borderId="0" xfId="0" applyFont="1" applyFill="1"/>
    <xf numFmtId="0" fontId="0" fillId="36" borderId="0" xfId="0" applyFill="1"/>
    <xf numFmtId="0" fontId="0" fillId="37" borderId="0" xfId="0" applyFill="1"/>
    <xf numFmtId="0" fontId="12" fillId="0" borderId="0" xfId="0" applyFont="1"/>
    <xf numFmtId="0" fontId="12" fillId="38" borderId="0" xfId="0" applyFont="1" applyFill="1"/>
    <xf numFmtId="0" fontId="13" fillId="33" borderId="0" xfId="0" applyFont="1" applyFill="1"/>
    <xf numFmtId="0" fontId="13" fillId="0" borderId="0" xfId="0" applyFont="1"/>
    <xf numFmtId="0" fontId="14" fillId="0" borderId="0" xfId="0" applyFont="1"/>
    <xf numFmtId="0" fontId="14" fillId="39" borderId="0" xfId="0" applyFont="1" applyFill="1"/>
    <xf numFmtId="0" fontId="14" fillId="6" borderId="0" xfId="0" applyFont="1" applyFill="1"/>
    <xf numFmtId="0" fontId="0" fillId="40" borderId="0" xfId="0" applyFill="1"/>
    <xf numFmtId="10" fontId="0" fillId="0" borderId="0" xfId="11" applyNumberFormat="1" applyFont="1"/>
    <xf numFmtId="0" fontId="14" fillId="7" borderId="0" xfId="0" applyFont="1" applyFill="1"/>
    <xf numFmtId="0" fontId="15" fillId="0" borderId="0" xfId="0" applyFont="1"/>
    <xf numFmtId="0" fontId="15" fillId="41" borderId="0" xfId="0" applyFont="1" applyFill="1"/>
    <xf numFmtId="0" fontId="16" fillId="0" borderId="0" xfId="0" applyFont="1"/>
    <xf numFmtId="0" fontId="16" fillId="6" borderId="0" xfId="0" applyFont="1" applyFill="1"/>
    <xf numFmtId="0" fontId="15" fillId="42" borderId="0" xfId="0" applyFont="1" applyFill="1"/>
    <xf numFmtId="3" fontId="9" fillId="0" borderId="0" xfId="0" applyNumberFormat="1" applyFont="1"/>
    <xf numFmtId="0" fontId="9" fillId="43" borderId="0" xfId="0" applyFont="1" applyFill="1"/>
    <xf numFmtId="11" fontId="10" fillId="0" borderId="0" xfId="0" applyNumberFormat="1" applyFont="1"/>
    <xf numFmtId="0" fontId="14" fillId="4" borderId="0" xfId="0" applyFont="1" applyFill="1"/>
    <xf numFmtId="0" fontId="14" fillId="18" borderId="0" xfId="0" applyFont="1" applyFill="1"/>
  </cellXfs>
  <cellStyles count="12">
    <cellStyle name="20% - Accent2 2" xfId="1" xr:uid="{00000000-0005-0000-0000-000000000000}"/>
    <cellStyle name="Comma 2" xfId="2" xr:uid="{00000000-0005-0000-0000-000002000000}"/>
    <cellStyle name="Normal" xfId="0" builtinId="0"/>
    <cellStyle name="Normal 13 2" xfId="3" xr:uid="{00000000-0005-0000-0000-000005000000}"/>
    <cellStyle name="Normal 2" xfId="4" xr:uid="{00000000-0005-0000-0000-000006000000}"/>
    <cellStyle name="Normal 2 2" xfId="10" xr:uid="{00000000-0005-0000-0000-000007000000}"/>
    <cellStyle name="Normal 2 24 2" xfId="5" xr:uid="{00000000-0005-0000-0000-000008000000}"/>
    <cellStyle name="Normal 3" xfId="6" xr:uid="{00000000-0005-0000-0000-000009000000}"/>
    <cellStyle name="Normal 4" xfId="7" xr:uid="{00000000-0005-0000-0000-00000A000000}"/>
    <cellStyle name="Normal 55 3 2" xfId="8" xr:uid="{00000000-0005-0000-0000-00000B000000}"/>
    <cellStyle name="Normal 55 3 2 2" xfId="9" xr:uid="{00000000-0005-0000-0000-00000C000000}"/>
    <cellStyle name="Percent" xfId="11" builtinId="5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FFEBFF"/>
      <color rgb="FFFFDBFF"/>
      <color rgb="FFFFE7FF"/>
      <color rgb="FFFFE1FF"/>
      <color rgb="FFFFD9FF"/>
      <color rgb="FFFFCCFF"/>
      <color rgb="FFFFB3FF"/>
      <color rgb="FFFFBDFF"/>
      <color rgb="FFFFA7FF"/>
      <color rgb="FFFF7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man Andres Gallegos Vargas" id="{6570C134-D4AA-45E4-8DF5-E32F30F309B4}" userId="S::gegallegos@dnp.gov.co::b9d03cbd-a3ba-4a94-ba02-507e946f6fa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4" dT="2025-09-05T06:09:27.27" personId="{6570C134-D4AA-45E4-8DF5-E32F30F309B4}" id="{38596EB2-D33C-44B1-A201-6D260836B6A4}">
    <text>Here I had 50 million FCFA, but I removed it and moved the exemption to presim, because it was more complicated than just “all incomes below are exempted”</text>
  </threadedComment>
  <threadedComment ref="J245" dT="2025-07-18T12:43:24.22" personId="{6570C134-D4AA-45E4-8DF5-E32F30F309B4}" id="{888A6C41-AC09-49F9-9B17-D036E7506305}">
    <text>Originalmente tenía 14.06</text>
  </threadedComment>
  <threadedComment ref="J248" dT="2025-07-25T00:03:07.76" personId="{6570C134-D4AA-45E4-8DF5-E32F30F309B4}" id="{1D4F1765-E6DB-470A-92B9-1301DAD7B4DB}">
    <text>These values were monthly and I converted them to bimonthly, so that they are consistent.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CEC0-B77B-F248-8F1E-FC336F7692E6}">
  <sheetPr>
    <tabColor theme="7" tint="0.59999389629810485"/>
  </sheetPr>
  <dimension ref="A1:D51"/>
  <sheetViews>
    <sheetView workbookViewId="0">
      <selection activeCell="C7" sqref="C7"/>
    </sheetView>
  </sheetViews>
  <sheetFormatPr defaultColWidth="11.3984375" defaultRowHeight="14.25" x14ac:dyDescent="0.45"/>
  <cols>
    <col min="1" max="3" width="15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8</v>
      </c>
      <c r="C4" t="s">
        <v>9</v>
      </c>
    </row>
    <row r="5" spans="1:3" x14ac:dyDescent="0.45">
      <c r="A5" t="s">
        <v>3</v>
      </c>
      <c r="B5" t="s">
        <v>10</v>
      </c>
      <c r="C5" t="s">
        <v>11</v>
      </c>
    </row>
    <row r="6" spans="1:3" x14ac:dyDescent="0.45">
      <c r="A6" t="s">
        <v>3</v>
      </c>
      <c r="B6" t="s">
        <v>12</v>
      </c>
      <c r="C6" t="s">
        <v>13</v>
      </c>
    </row>
    <row r="7" spans="1:3" x14ac:dyDescent="0.45">
      <c r="A7" t="s">
        <v>3</v>
      </c>
      <c r="B7" t="s">
        <v>14</v>
      </c>
      <c r="C7" t="s">
        <v>15</v>
      </c>
    </row>
    <row r="8" spans="1:3" x14ac:dyDescent="0.45">
      <c r="A8" t="s">
        <v>16</v>
      </c>
      <c r="B8" t="s">
        <v>17</v>
      </c>
      <c r="C8" t="s">
        <v>18</v>
      </c>
    </row>
    <row r="9" spans="1:3" x14ac:dyDescent="0.45">
      <c r="A9" s="66" t="s">
        <v>16</v>
      </c>
      <c r="B9" s="66" t="s">
        <v>19</v>
      </c>
      <c r="C9" s="66" t="s">
        <v>20</v>
      </c>
    </row>
    <row r="10" spans="1:3" x14ac:dyDescent="0.45">
      <c r="A10" s="66" t="s">
        <v>16</v>
      </c>
      <c r="B10" s="66" t="s">
        <v>21</v>
      </c>
      <c r="C10" s="66" t="s">
        <v>22</v>
      </c>
    </row>
    <row r="11" spans="1:3" x14ac:dyDescent="0.45">
      <c r="A11" s="66" t="s">
        <v>16</v>
      </c>
      <c r="B11" s="66" t="s">
        <v>23</v>
      </c>
      <c r="C11" s="66" t="s">
        <v>24</v>
      </c>
    </row>
    <row r="12" spans="1:3" x14ac:dyDescent="0.45">
      <c r="A12" s="66" t="s">
        <v>16</v>
      </c>
      <c r="B12" s="66" t="s">
        <v>25</v>
      </c>
      <c r="C12" s="66" t="s">
        <v>26</v>
      </c>
    </row>
    <row r="13" spans="1:3" x14ac:dyDescent="0.45">
      <c r="A13" s="66" t="s">
        <v>16</v>
      </c>
      <c r="B13" s="66" t="s">
        <v>27</v>
      </c>
      <c r="C13" s="66" t="s">
        <v>28</v>
      </c>
    </row>
    <row r="14" spans="1:3" x14ac:dyDescent="0.45">
      <c r="A14" t="s">
        <v>16</v>
      </c>
      <c r="B14" t="s">
        <v>29</v>
      </c>
      <c r="C14" t="s">
        <v>15</v>
      </c>
    </row>
    <row r="15" spans="1:3" x14ac:dyDescent="0.45">
      <c r="A15" t="s">
        <v>30</v>
      </c>
      <c r="B15" t="s">
        <v>31</v>
      </c>
      <c r="C15" t="s">
        <v>32</v>
      </c>
    </row>
    <row r="16" spans="1:3" x14ac:dyDescent="0.45">
      <c r="A16" s="66" t="s">
        <v>30</v>
      </c>
      <c r="B16" s="66" t="s">
        <v>33</v>
      </c>
      <c r="C16" s="66" t="s">
        <v>34</v>
      </c>
    </row>
    <row r="17" spans="1:4" x14ac:dyDescent="0.45">
      <c r="A17" s="66" t="s">
        <v>30</v>
      </c>
      <c r="B17" s="66" t="s">
        <v>35</v>
      </c>
      <c r="C17" s="66" t="s">
        <v>36</v>
      </c>
    </row>
    <row r="18" spans="1:4" x14ac:dyDescent="0.45">
      <c r="A18" s="66" t="s">
        <v>30</v>
      </c>
      <c r="B18" s="66" t="s">
        <v>37</v>
      </c>
      <c r="C18" s="66" t="s">
        <v>38</v>
      </c>
    </row>
    <row r="19" spans="1:4" x14ac:dyDescent="0.45">
      <c r="A19" s="66" t="s">
        <v>30</v>
      </c>
      <c r="B19" s="66" t="s">
        <v>39</v>
      </c>
      <c r="C19" s="66" t="s">
        <v>40</v>
      </c>
    </row>
    <row r="20" spans="1:4" x14ac:dyDescent="0.45">
      <c r="A20" t="s">
        <v>30</v>
      </c>
      <c r="B20" t="s">
        <v>41</v>
      </c>
      <c r="C20" t="s">
        <v>15</v>
      </c>
    </row>
    <row r="21" spans="1:4" x14ac:dyDescent="0.45">
      <c r="A21" t="s">
        <v>42</v>
      </c>
      <c r="B21" t="s">
        <v>43</v>
      </c>
      <c r="C21" t="s">
        <v>44</v>
      </c>
    </row>
    <row r="22" spans="1:4" x14ac:dyDescent="0.45">
      <c r="A22" t="s">
        <v>42</v>
      </c>
      <c r="B22" t="s">
        <v>45</v>
      </c>
      <c r="C22" t="s">
        <v>46</v>
      </c>
    </row>
    <row r="23" spans="1:4" x14ac:dyDescent="0.45">
      <c r="A23" t="s">
        <v>42</v>
      </c>
      <c r="B23" t="s">
        <v>47</v>
      </c>
      <c r="C23" t="s">
        <v>48</v>
      </c>
    </row>
    <row r="24" spans="1:4" x14ac:dyDescent="0.45">
      <c r="A24" t="s">
        <v>42</v>
      </c>
      <c r="B24" t="s">
        <v>49</v>
      </c>
      <c r="C24" t="s">
        <v>50</v>
      </c>
    </row>
    <row r="25" spans="1:4" x14ac:dyDescent="0.45">
      <c r="A25" t="s">
        <v>42</v>
      </c>
      <c r="B25" t="s">
        <v>51</v>
      </c>
      <c r="C25" t="s">
        <v>52</v>
      </c>
    </row>
    <row r="26" spans="1:4" x14ac:dyDescent="0.45">
      <c r="A26" t="s">
        <v>42</v>
      </c>
      <c r="B26" t="s">
        <v>53</v>
      </c>
      <c r="C26" t="s">
        <v>15</v>
      </c>
    </row>
    <row r="27" spans="1:4" x14ac:dyDescent="0.45">
      <c r="A27" t="s">
        <v>54</v>
      </c>
      <c r="B27" t="s">
        <v>55</v>
      </c>
      <c r="C27" t="s">
        <v>54</v>
      </c>
      <c r="D27" t="s">
        <v>56</v>
      </c>
    </row>
    <row r="28" spans="1:4" x14ac:dyDescent="0.45">
      <c r="A28" t="s">
        <v>54</v>
      </c>
      <c r="B28" t="s">
        <v>57</v>
      </c>
      <c r="C28" t="s">
        <v>58</v>
      </c>
    </row>
    <row r="29" spans="1:4" x14ac:dyDescent="0.45">
      <c r="A29" t="s">
        <v>54</v>
      </c>
      <c r="B29" t="s">
        <v>59</v>
      </c>
      <c r="C29" t="s">
        <v>60</v>
      </c>
    </row>
    <row r="30" spans="1:4" x14ac:dyDescent="0.45">
      <c r="A30" t="s">
        <v>54</v>
      </c>
      <c r="B30" t="s">
        <v>61</v>
      </c>
      <c r="C30" t="s">
        <v>62</v>
      </c>
    </row>
    <row r="31" spans="1:4" x14ac:dyDescent="0.45">
      <c r="A31" t="s">
        <v>54</v>
      </c>
      <c r="B31" t="s">
        <v>63</v>
      </c>
      <c r="C31" t="s">
        <v>64</v>
      </c>
    </row>
    <row r="32" spans="1:4" x14ac:dyDescent="0.45">
      <c r="A32" t="s">
        <v>54</v>
      </c>
      <c r="B32" t="s">
        <v>65</v>
      </c>
      <c r="C32" t="s">
        <v>66</v>
      </c>
    </row>
    <row r="33" spans="1:3" x14ac:dyDescent="0.45">
      <c r="A33" t="s">
        <v>54</v>
      </c>
      <c r="B33" t="s">
        <v>67</v>
      </c>
      <c r="C33" t="s">
        <v>68</v>
      </c>
    </row>
    <row r="34" spans="1:3" x14ac:dyDescent="0.45">
      <c r="A34" t="s">
        <v>54</v>
      </c>
      <c r="B34" t="s">
        <v>69</v>
      </c>
      <c r="C34" t="s">
        <v>70</v>
      </c>
    </row>
    <row r="35" spans="1:3" x14ac:dyDescent="0.45">
      <c r="A35" t="s">
        <v>54</v>
      </c>
      <c r="B35" t="s">
        <v>71</v>
      </c>
      <c r="C35" t="s">
        <v>72</v>
      </c>
    </row>
    <row r="36" spans="1:3" x14ac:dyDescent="0.45">
      <c r="A36" t="s">
        <v>54</v>
      </c>
      <c r="B36" t="s">
        <v>73</v>
      </c>
      <c r="C36" t="s">
        <v>15</v>
      </c>
    </row>
    <row r="37" spans="1:3" x14ac:dyDescent="0.45">
      <c r="A37" t="s">
        <v>74</v>
      </c>
      <c r="B37" t="s">
        <v>75</v>
      </c>
      <c r="C37" t="s">
        <v>76</v>
      </c>
    </row>
    <row r="38" spans="1:3" x14ac:dyDescent="0.45">
      <c r="A38" t="s">
        <v>74</v>
      </c>
      <c r="B38" t="s">
        <v>77</v>
      </c>
      <c r="C38" t="s">
        <v>78</v>
      </c>
    </row>
    <row r="39" spans="1:3" x14ac:dyDescent="0.45">
      <c r="A39" t="s">
        <v>74</v>
      </c>
      <c r="B39" t="s">
        <v>79</v>
      </c>
      <c r="C39" t="s">
        <v>80</v>
      </c>
    </row>
    <row r="40" spans="1:3" x14ac:dyDescent="0.45">
      <c r="A40" t="s">
        <v>74</v>
      </c>
      <c r="B40" t="s">
        <v>81</v>
      </c>
      <c r="C40" t="s">
        <v>82</v>
      </c>
    </row>
    <row r="41" spans="1:3" x14ac:dyDescent="0.45">
      <c r="A41" t="s">
        <v>74</v>
      </c>
      <c r="B41" t="s">
        <v>83</v>
      </c>
      <c r="C41" t="s">
        <v>84</v>
      </c>
    </row>
    <row r="42" spans="1:3" x14ac:dyDescent="0.45">
      <c r="A42" t="s">
        <v>74</v>
      </c>
      <c r="B42" t="s">
        <v>85</v>
      </c>
      <c r="C42" t="s">
        <v>86</v>
      </c>
    </row>
    <row r="43" spans="1:3" x14ac:dyDescent="0.45">
      <c r="A43" t="s">
        <v>74</v>
      </c>
      <c r="B43" t="s">
        <v>87</v>
      </c>
      <c r="C43" t="s">
        <v>88</v>
      </c>
    </row>
    <row r="44" spans="1:3" x14ac:dyDescent="0.45">
      <c r="A44" t="s">
        <v>74</v>
      </c>
      <c r="B44" t="s">
        <v>89</v>
      </c>
      <c r="C44" t="s">
        <v>15</v>
      </c>
    </row>
    <row r="51" spans="2:2" x14ac:dyDescent="0.45">
      <c r="B51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F1F9-0CEE-2F40-80D2-A0E7C144BE8D}">
  <sheetPr>
    <tabColor theme="7" tint="0.59999389629810485"/>
  </sheetPr>
  <dimension ref="A1:M440"/>
  <sheetViews>
    <sheetView tabSelected="1" zoomScale="85" zoomScaleNormal="85" workbookViewId="0">
      <pane xSplit="1" ySplit="1" topLeftCell="B172" activePane="bottomRight" state="frozen"/>
      <selection pane="topRight"/>
      <selection pane="bottomLeft"/>
      <selection pane="bottomRight" activeCell="J176" sqref="J176"/>
    </sheetView>
  </sheetViews>
  <sheetFormatPr defaultColWidth="11.3984375" defaultRowHeight="14.25" x14ac:dyDescent="0.45"/>
  <cols>
    <col min="1" max="1" width="5.06640625" customWidth="1"/>
    <col min="2" max="2" width="6.19921875" customWidth="1"/>
    <col min="3" max="3" width="10.73046875" customWidth="1"/>
    <col min="4" max="4" width="20.73046875" customWidth="1"/>
    <col min="5" max="5" width="13.73046875" style="4" customWidth="1"/>
    <col min="6" max="6" width="16.3984375" customWidth="1"/>
    <col min="7" max="7" width="14" customWidth="1"/>
    <col min="8" max="8" width="16.265625" customWidth="1"/>
    <col min="9" max="11" width="14" customWidth="1"/>
    <col min="12" max="12" width="12.3984375" style="7" bestFit="1" customWidth="1"/>
  </cols>
  <sheetData>
    <row r="1" spans="1:13" x14ac:dyDescent="0.45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s="7" t="s">
        <v>101</v>
      </c>
      <c r="M1" t="s">
        <v>102</v>
      </c>
    </row>
    <row r="2" spans="1:13" x14ac:dyDescent="0.45">
      <c r="A2" s="6"/>
      <c r="B2" s="6"/>
      <c r="C2" s="6" t="s">
        <v>103</v>
      </c>
      <c r="D2" s="6"/>
      <c r="E2" s="6">
        <v>0</v>
      </c>
      <c r="F2" s="6" t="s">
        <v>104</v>
      </c>
      <c r="G2" s="6" t="s">
        <v>105</v>
      </c>
      <c r="H2" s="6" t="s">
        <v>105</v>
      </c>
      <c r="I2" s="6" t="s">
        <v>106</v>
      </c>
      <c r="J2" s="6" t="s">
        <v>107</v>
      </c>
      <c r="K2" s="6" t="s">
        <v>108</v>
      </c>
      <c r="L2" s="13"/>
    </row>
    <row r="3" spans="1:13" x14ac:dyDescent="0.45">
      <c r="A3" s="6"/>
      <c r="B3" s="6"/>
      <c r="C3" s="6" t="s">
        <v>103</v>
      </c>
      <c r="D3" s="6"/>
      <c r="E3" s="6">
        <v>0</v>
      </c>
      <c r="F3" s="6" t="s">
        <v>104</v>
      </c>
      <c r="G3" s="6" t="s">
        <v>109</v>
      </c>
      <c r="H3" s="6" t="s">
        <v>109</v>
      </c>
      <c r="I3" s="6">
        <v>0</v>
      </c>
      <c r="J3" s="6">
        <v>0</v>
      </c>
      <c r="K3" s="6">
        <v>0</v>
      </c>
      <c r="L3" s="13"/>
    </row>
    <row r="4" spans="1:13" x14ac:dyDescent="0.45">
      <c r="A4" s="6"/>
      <c r="B4" s="6"/>
      <c r="C4" s="6" t="s">
        <v>103</v>
      </c>
      <c r="D4" s="6"/>
      <c r="E4" s="6">
        <v>0</v>
      </c>
      <c r="F4" s="6" t="s">
        <v>104</v>
      </c>
      <c r="G4" s="6" t="s">
        <v>110</v>
      </c>
      <c r="H4" s="6" t="s">
        <v>110</v>
      </c>
      <c r="I4" s="6">
        <v>0</v>
      </c>
      <c r="J4" s="6">
        <v>0</v>
      </c>
      <c r="K4" s="6">
        <v>0</v>
      </c>
      <c r="L4" s="13"/>
    </row>
    <row r="5" spans="1:13" x14ac:dyDescent="0.45">
      <c r="A5" s="6"/>
      <c r="B5" s="6"/>
      <c r="C5" s="6" t="s">
        <v>103</v>
      </c>
      <c r="D5" s="6"/>
      <c r="E5" s="6">
        <v>0</v>
      </c>
      <c r="F5" s="6" t="s">
        <v>104</v>
      </c>
      <c r="G5" s="6" t="s">
        <v>111</v>
      </c>
      <c r="H5" s="6" t="s">
        <v>111</v>
      </c>
      <c r="I5" s="6">
        <v>1</v>
      </c>
      <c r="J5" s="6">
        <v>1</v>
      </c>
      <c r="K5" s="6">
        <v>1</v>
      </c>
      <c r="L5" s="13" t="s">
        <v>112</v>
      </c>
    </row>
    <row r="6" spans="1:13" x14ac:dyDescent="0.45">
      <c r="A6" s="6"/>
      <c r="B6" s="6"/>
      <c r="C6" s="6" t="s">
        <v>103</v>
      </c>
      <c r="D6" s="6"/>
      <c r="E6" s="6">
        <v>0</v>
      </c>
      <c r="F6" s="6" t="s">
        <v>104</v>
      </c>
      <c r="G6" s="6" t="s">
        <v>113</v>
      </c>
      <c r="H6" s="6" t="s">
        <v>113</v>
      </c>
      <c r="I6" s="6" t="s">
        <v>114</v>
      </c>
      <c r="J6" s="6" t="s">
        <v>115</v>
      </c>
      <c r="K6" s="6" t="s">
        <v>116</v>
      </c>
      <c r="L6" s="13"/>
    </row>
    <row r="7" spans="1:13" x14ac:dyDescent="0.45">
      <c r="A7" s="6"/>
      <c r="B7" s="6"/>
      <c r="C7" s="6" t="s">
        <v>103</v>
      </c>
      <c r="D7" s="6"/>
      <c r="E7" s="6">
        <v>0</v>
      </c>
      <c r="F7" s="6" t="s">
        <v>104</v>
      </c>
      <c r="G7" s="6" t="s">
        <v>117</v>
      </c>
      <c r="H7" s="6" t="s">
        <v>117</v>
      </c>
      <c r="I7" s="6">
        <v>0</v>
      </c>
      <c r="J7" s="6">
        <v>0</v>
      </c>
      <c r="K7" s="6">
        <v>0</v>
      </c>
      <c r="L7" s="13" t="s">
        <v>118</v>
      </c>
    </row>
    <row r="8" spans="1:13" x14ac:dyDescent="0.45">
      <c r="A8" s="6"/>
      <c r="B8" s="6"/>
      <c r="C8" s="6" t="s">
        <v>103</v>
      </c>
      <c r="D8" s="6"/>
      <c r="E8" s="6">
        <v>0</v>
      </c>
      <c r="F8" s="6" t="s">
        <v>104</v>
      </c>
      <c r="G8" s="6" t="s">
        <v>119</v>
      </c>
      <c r="H8" s="6" t="s">
        <v>119</v>
      </c>
      <c r="I8" s="6" t="s">
        <v>120</v>
      </c>
      <c r="J8" s="6" t="s">
        <v>121</v>
      </c>
      <c r="K8" s="6" t="s">
        <v>122</v>
      </c>
      <c r="L8" s="13"/>
    </row>
    <row r="9" spans="1:13" x14ac:dyDescent="0.45">
      <c r="A9" s="6"/>
      <c r="B9" s="6"/>
      <c r="C9" s="6" t="s">
        <v>103</v>
      </c>
      <c r="D9" s="6"/>
      <c r="E9" s="6">
        <v>0</v>
      </c>
      <c r="F9" s="6" t="s">
        <v>123</v>
      </c>
      <c r="G9" s="6" t="s">
        <v>124</v>
      </c>
      <c r="H9" s="6" t="s">
        <v>124</v>
      </c>
      <c r="I9" s="6">
        <v>0</v>
      </c>
      <c r="J9" s="6">
        <v>0</v>
      </c>
      <c r="K9" s="6">
        <v>0</v>
      </c>
      <c r="L9" s="13" t="s">
        <v>125</v>
      </c>
    </row>
    <row r="10" spans="1:13" x14ac:dyDescent="0.45">
      <c r="A10" s="6" t="s">
        <v>126</v>
      </c>
      <c r="B10" s="6" t="s">
        <v>127</v>
      </c>
      <c r="C10" s="6" t="s">
        <v>128</v>
      </c>
      <c r="D10" s="6" t="s">
        <v>129</v>
      </c>
      <c r="E10" s="6">
        <v>1</v>
      </c>
      <c r="F10" s="6" t="s">
        <v>130</v>
      </c>
      <c r="G10" s="65" t="s">
        <v>131</v>
      </c>
      <c r="H10" s="60" t="s">
        <v>132</v>
      </c>
      <c r="I10" s="60" t="s">
        <v>133</v>
      </c>
      <c r="J10" s="60" t="s">
        <v>134</v>
      </c>
      <c r="K10" s="60" t="s">
        <v>135</v>
      </c>
      <c r="L10" s="62" t="s">
        <v>136</v>
      </c>
    </row>
    <row r="11" spans="1:13" x14ac:dyDescent="0.45">
      <c r="A11" s="6" t="s">
        <v>126</v>
      </c>
      <c r="B11" s="6" t="s">
        <v>127</v>
      </c>
      <c r="C11" s="6" t="s">
        <v>128</v>
      </c>
      <c r="D11" s="6" t="s">
        <v>129</v>
      </c>
      <c r="E11" s="6">
        <v>1</v>
      </c>
      <c r="F11" s="6" t="s">
        <v>130</v>
      </c>
      <c r="G11" s="15" t="s">
        <v>137</v>
      </c>
      <c r="H11" s="6" t="s">
        <v>138</v>
      </c>
      <c r="I11" s="6">
        <v>0.15</v>
      </c>
      <c r="J11" s="6">
        <v>0</v>
      </c>
      <c r="K11" s="6">
        <v>0</v>
      </c>
      <c r="L11" s="13" t="s">
        <v>136</v>
      </c>
    </row>
    <row r="12" spans="1:13" x14ac:dyDescent="0.45">
      <c r="A12" s="6" t="s">
        <v>126</v>
      </c>
      <c r="B12" s="6" t="s">
        <v>127</v>
      </c>
      <c r="C12" s="6" t="s">
        <v>128</v>
      </c>
      <c r="D12" s="6" t="s">
        <v>129</v>
      </c>
      <c r="E12" s="6">
        <v>1</v>
      </c>
      <c r="F12" s="6" t="s">
        <v>130</v>
      </c>
      <c r="G12" s="15" t="s">
        <v>139</v>
      </c>
      <c r="H12" s="6" t="s">
        <v>140</v>
      </c>
      <c r="I12" s="6">
        <v>1080000</v>
      </c>
      <c r="J12" s="6">
        <v>24000</v>
      </c>
      <c r="K12" s="6">
        <v>630000</v>
      </c>
      <c r="L12" s="13" t="s">
        <v>141</v>
      </c>
    </row>
    <row r="13" spans="1:13" x14ac:dyDescent="0.45">
      <c r="A13" s="6" t="s">
        <v>126</v>
      </c>
      <c r="B13" s="6" t="s">
        <v>127</v>
      </c>
      <c r="C13" s="6" t="s">
        <v>128</v>
      </c>
      <c r="D13" s="6" t="s">
        <v>129</v>
      </c>
      <c r="E13" s="6">
        <v>1</v>
      </c>
      <c r="F13" s="6" t="s">
        <v>130</v>
      </c>
      <c r="G13" s="15" t="s">
        <v>142</v>
      </c>
      <c r="H13" s="6" t="s">
        <v>143</v>
      </c>
      <c r="I13" s="6">
        <v>0.25</v>
      </c>
      <c r="J13" s="6">
        <v>0.05</v>
      </c>
      <c r="K13" s="6">
        <v>0.2</v>
      </c>
      <c r="L13" s="13" t="s">
        <v>136</v>
      </c>
    </row>
    <row r="14" spans="1:13" x14ac:dyDescent="0.45">
      <c r="A14" s="6" t="s">
        <v>126</v>
      </c>
      <c r="B14" s="6" t="s">
        <v>127</v>
      </c>
      <c r="C14" s="6" t="s">
        <v>128</v>
      </c>
      <c r="D14" s="6" t="s">
        <v>129</v>
      </c>
      <c r="E14" s="6">
        <v>1</v>
      </c>
      <c r="F14" s="6" t="s">
        <v>130</v>
      </c>
      <c r="G14" s="15" t="s">
        <v>144</v>
      </c>
      <c r="H14" s="6" t="s">
        <v>145</v>
      </c>
      <c r="I14" s="6">
        <v>2520000</v>
      </c>
      <c r="J14" s="6">
        <v>34000</v>
      </c>
      <c r="K14" s="6">
        <v>1500000</v>
      </c>
      <c r="L14" s="13" t="s">
        <v>141</v>
      </c>
    </row>
    <row r="15" spans="1:13" x14ac:dyDescent="0.45">
      <c r="A15" s="6" t="s">
        <v>126</v>
      </c>
      <c r="B15" s="6" t="s">
        <v>127</v>
      </c>
      <c r="C15" s="6" t="s">
        <v>128</v>
      </c>
      <c r="D15" s="6" t="s">
        <v>129</v>
      </c>
      <c r="E15" s="6">
        <v>1</v>
      </c>
      <c r="F15" s="6" t="s">
        <v>130</v>
      </c>
      <c r="G15" s="15" t="s">
        <v>146</v>
      </c>
      <c r="H15" s="6" t="s">
        <v>147</v>
      </c>
      <c r="I15" s="6">
        <v>0.4</v>
      </c>
      <c r="J15" s="6">
        <v>0.1</v>
      </c>
      <c r="K15" s="6">
        <v>0.3</v>
      </c>
      <c r="L15" s="13" t="s">
        <v>136</v>
      </c>
    </row>
    <row r="16" spans="1:13" x14ac:dyDescent="0.45">
      <c r="A16" s="6" t="s">
        <v>126</v>
      </c>
      <c r="B16" s="6" t="s">
        <v>127</v>
      </c>
      <c r="C16" s="6" t="s">
        <v>128</v>
      </c>
      <c r="D16" s="6" t="s">
        <v>129</v>
      </c>
      <c r="E16" s="6">
        <v>1</v>
      </c>
      <c r="F16" s="6" t="s">
        <v>130</v>
      </c>
      <c r="G16" s="15" t="s">
        <v>148</v>
      </c>
      <c r="H16" s="6" t="s">
        <v>149</v>
      </c>
      <c r="I16" s="6"/>
      <c r="J16" s="6">
        <v>44000</v>
      </c>
      <c r="K16" s="6">
        <v>4000000</v>
      </c>
      <c r="L16" s="13" t="s">
        <v>141</v>
      </c>
    </row>
    <row r="17" spans="1:12" x14ac:dyDescent="0.45">
      <c r="A17" s="6" t="s">
        <v>126</v>
      </c>
      <c r="B17" s="6" t="s">
        <v>127</v>
      </c>
      <c r="C17" s="6" t="s">
        <v>128</v>
      </c>
      <c r="D17" s="6" t="s">
        <v>129</v>
      </c>
      <c r="E17" s="6">
        <v>1</v>
      </c>
      <c r="F17" s="6" t="s">
        <v>130</v>
      </c>
      <c r="G17" s="15" t="s">
        <v>150</v>
      </c>
      <c r="H17" s="6" t="s">
        <v>151</v>
      </c>
      <c r="I17" s="6"/>
      <c r="J17" s="6">
        <v>0.15</v>
      </c>
      <c r="K17" s="6">
        <v>0.35</v>
      </c>
      <c r="L17" s="13" t="s">
        <v>136</v>
      </c>
    </row>
    <row r="18" spans="1:12" x14ac:dyDescent="0.45">
      <c r="A18" s="6" t="s">
        <v>126</v>
      </c>
      <c r="B18" s="6" t="s">
        <v>127</v>
      </c>
      <c r="C18" s="6" t="s">
        <v>128</v>
      </c>
      <c r="D18" s="6" t="s">
        <v>129</v>
      </c>
      <c r="E18" s="6">
        <v>1</v>
      </c>
      <c r="F18" s="6" t="s">
        <v>130</v>
      </c>
      <c r="G18" s="15" t="s">
        <v>152</v>
      </c>
      <c r="H18" s="6" t="s">
        <v>153</v>
      </c>
      <c r="I18" s="6"/>
      <c r="J18" s="6">
        <v>54000</v>
      </c>
      <c r="K18" s="6">
        <v>8000000</v>
      </c>
      <c r="L18" s="13" t="s">
        <v>141</v>
      </c>
    </row>
    <row r="19" spans="1:12" x14ac:dyDescent="0.45">
      <c r="A19" s="6" t="s">
        <v>126</v>
      </c>
      <c r="B19" s="6" t="s">
        <v>127</v>
      </c>
      <c r="C19" s="6" t="s">
        <v>128</v>
      </c>
      <c r="D19" s="6" t="s">
        <v>129</v>
      </c>
      <c r="E19" s="6">
        <v>1</v>
      </c>
      <c r="F19" s="6" t="s">
        <v>130</v>
      </c>
      <c r="G19" s="15" t="s">
        <v>154</v>
      </c>
      <c r="H19" s="6" t="s">
        <v>155</v>
      </c>
      <c r="I19" s="6"/>
      <c r="J19" s="6">
        <v>0.2</v>
      </c>
      <c r="K19" s="6">
        <v>0.37</v>
      </c>
      <c r="L19" s="13" t="s">
        <v>136</v>
      </c>
    </row>
    <row r="20" spans="1:12" x14ac:dyDescent="0.45">
      <c r="A20" s="6" t="s">
        <v>126</v>
      </c>
      <c r="B20" s="6" t="s">
        <v>127</v>
      </c>
      <c r="C20" s="6" t="s">
        <v>128</v>
      </c>
      <c r="D20" s="6" t="s">
        <v>129</v>
      </c>
      <c r="E20" s="6">
        <v>1</v>
      </c>
      <c r="F20" s="6" t="s">
        <v>130</v>
      </c>
      <c r="G20" s="15" t="s">
        <v>156</v>
      </c>
      <c r="H20" s="6" t="s">
        <v>157</v>
      </c>
      <c r="I20" s="6"/>
      <c r="J20" s="6">
        <v>64000</v>
      </c>
      <c r="K20" s="6">
        <v>13500000</v>
      </c>
      <c r="L20" s="13" t="s">
        <v>141</v>
      </c>
    </row>
    <row r="21" spans="1:12" x14ac:dyDescent="0.45">
      <c r="A21" s="6" t="s">
        <v>126</v>
      </c>
      <c r="B21" s="6" t="s">
        <v>127</v>
      </c>
      <c r="C21" s="6" t="s">
        <v>128</v>
      </c>
      <c r="D21" s="6" t="s">
        <v>129</v>
      </c>
      <c r="E21" s="6">
        <v>1</v>
      </c>
      <c r="F21" s="6" t="s">
        <v>130</v>
      </c>
      <c r="G21" s="15" t="s">
        <v>158</v>
      </c>
      <c r="H21" s="6" t="s">
        <v>159</v>
      </c>
      <c r="I21" s="6"/>
      <c r="J21" s="6">
        <v>0.25</v>
      </c>
      <c r="K21" s="6">
        <v>0.4</v>
      </c>
      <c r="L21" s="13" t="s">
        <v>136</v>
      </c>
    </row>
    <row r="22" spans="1:12" x14ac:dyDescent="0.45">
      <c r="A22" s="6" t="s">
        <v>126</v>
      </c>
      <c r="B22" s="6" t="s">
        <v>127</v>
      </c>
      <c r="C22" s="6" t="s">
        <v>128</v>
      </c>
      <c r="D22" s="6" t="s">
        <v>129</v>
      </c>
      <c r="E22" s="6">
        <v>1</v>
      </c>
      <c r="F22" s="6" t="s">
        <v>130</v>
      </c>
      <c r="G22" s="15" t="s">
        <v>160</v>
      </c>
      <c r="H22" s="6" t="s">
        <v>161</v>
      </c>
      <c r="I22" s="6"/>
      <c r="J22" s="6"/>
      <c r="K22" s="6">
        <v>50000000</v>
      </c>
      <c r="L22" s="13" t="s">
        <v>141</v>
      </c>
    </row>
    <row r="23" spans="1:12" x14ac:dyDescent="0.45">
      <c r="A23" s="6" t="s">
        <v>126</v>
      </c>
      <c r="B23" s="6" t="s">
        <v>127</v>
      </c>
      <c r="C23" s="6" t="s">
        <v>128</v>
      </c>
      <c r="D23" s="6" t="s">
        <v>129</v>
      </c>
      <c r="E23" s="6">
        <v>1</v>
      </c>
      <c r="F23" s="6" t="s">
        <v>130</v>
      </c>
      <c r="G23" s="15" t="s">
        <v>162</v>
      </c>
      <c r="H23" s="6" t="s">
        <v>163</v>
      </c>
      <c r="I23" s="6"/>
      <c r="J23" s="6"/>
      <c r="K23" s="6">
        <v>0.43</v>
      </c>
      <c r="L23" s="13" t="s">
        <v>136</v>
      </c>
    </row>
    <row r="24" spans="1:12" x14ac:dyDescent="0.45">
      <c r="A24" s="6" t="s">
        <v>126</v>
      </c>
      <c r="B24" s="6" t="s">
        <v>127</v>
      </c>
      <c r="C24" s="6" t="s">
        <v>128</v>
      </c>
      <c r="D24" s="6" t="s">
        <v>129</v>
      </c>
      <c r="E24" s="6">
        <v>1</v>
      </c>
      <c r="F24" s="6" t="s">
        <v>130</v>
      </c>
      <c r="G24" s="15" t="s">
        <v>164</v>
      </c>
      <c r="H24" s="6" t="s">
        <v>165</v>
      </c>
      <c r="I24" s="6"/>
      <c r="J24" s="6"/>
      <c r="K24" s="6"/>
      <c r="L24" s="13" t="s">
        <v>141</v>
      </c>
    </row>
    <row r="25" spans="1:12" x14ac:dyDescent="0.45">
      <c r="A25" s="6" t="s">
        <v>126</v>
      </c>
      <c r="B25" s="6" t="s">
        <v>127</v>
      </c>
      <c r="C25" s="6" t="s">
        <v>128</v>
      </c>
      <c r="D25" s="6" t="s">
        <v>129</v>
      </c>
      <c r="E25" s="6">
        <v>1</v>
      </c>
      <c r="F25" s="6" t="s">
        <v>130</v>
      </c>
      <c r="G25" s="15" t="s">
        <v>166</v>
      </c>
      <c r="H25" s="6" t="s">
        <v>167</v>
      </c>
      <c r="I25" s="6"/>
      <c r="J25" s="6"/>
      <c r="K25" s="6"/>
      <c r="L25" s="13" t="s">
        <v>141</v>
      </c>
    </row>
    <row r="26" spans="1:12" x14ac:dyDescent="0.45">
      <c r="A26" s="6" t="s">
        <v>126</v>
      </c>
      <c r="B26" s="6" t="s">
        <v>127</v>
      </c>
      <c r="C26" s="6" t="s">
        <v>128</v>
      </c>
      <c r="D26" s="6" t="s">
        <v>129</v>
      </c>
      <c r="E26" s="6">
        <v>1</v>
      </c>
      <c r="F26" s="6" t="s">
        <v>130</v>
      </c>
      <c r="G26" s="15" t="s">
        <v>168</v>
      </c>
      <c r="H26" s="6" t="s">
        <v>169</v>
      </c>
      <c r="I26" s="6"/>
      <c r="J26" s="6"/>
      <c r="K26" s="6"/>
      <c r="L26" s="13" t="s">
        <v>141</v>
      </c>
    </row>
    <row r="27" spans="1:12" x14ac:dyDescent="0.45">
      <c r="A27" s="6" t="s">
        <v>126</v>
      </c>
      <c r="B27" s="6" t="s">
        <v>127</v>
      </c>
      <c r="C27" s="6" t="s">
        <v>128</v>
      </c>
      <c r="D27" s="6" t="s">
        <v>129</v>
      </c>
      <c r="E27" s="6">
        <v>1</v>
      </c>
      <c r="F27" s="6" t="s">
        <v>130</v>
      </c>
      <c r="G27" s="15" t="s">
        <v>170</v>
      </c>
      <c r="H27" s="6" t="s">
        <v>171</v>
      </c>
      <c r="I27" s="6"/>
      <c r="J27" s="6"/>
      <c r="K27" s="6"/>
      <c r="L27" s="13" t="s">
        <v>141</v>
      </c>
    </row>
    <row r="28" spans="1:12" x14ac:dyDescent="0.45">
      <c r="A28" s="6" t="s">
        <v>126</v>
      </c>
      <c r="B28" s="6" t="s">
        <v>127</v>
      </c>
      <c r="C28" s="6" t="s">
        <v>128</v>
      </c>
      <c r="D28" s="6" t="s">
        <v>129</v>
      </c>
      <c r="E28" s="6">
        <v>1</v>
      </c>
      <c r="F28" s="6" t="s">
        <v>130</v>
      </c>
      <c r="G28" s="15" t="s">
        <v>172</v>
      </c>
      <c r="H28" s="6" t="s">
        <v>173</v>
      </c>
      <c r="I28" s="6"/>
      <c r="J28" s="6"/>
      <c r="K28" s="6"/>
      <c r="L28" s="13" t="s">
        <v>141</v>
      </c>
    </row>
    <row r="29" spans="1:12" x14ac:dyDescent="0.45">
      <c r="A29" s="6" t="s">
        <v>126</v>
      </c>
      <c r="B29" s="6" t="s">
        <v>127</v>
      </c>
      <c r="C29" s="6" t="s">
        <v>128</v>
      </c>
      <c r="D29" s="6" t="s">
        <v>129</v>
      </c>
      <c r="E29" s="6">
        <v>1</v>
      </c>
      <c r="F29" s="6" t="s">
        <v>130</v>
      </c>
      <c r="G29" s="15" t="s">
        <v>174</v>
      </c>
      <c r="H29" s="6" t="s">
        <v>175</v>
      </c>
      <c r="I29" s="6"/>
      <c r="J29" s="6"/>
      <c r="K29" s="6"/>
      <c r="L29" s="13" t="s">
        <v>141</v>
      </c>
    </row>
    <row r="30" spans="1:12" x14ac:dyDescent="0.45">
      <c r="A30" s="6" t="s">
        <v>126</v>
      </c>
      <c r="B30" s="6" t="s">
        <v>127</v>
      </c>
      <c r="C30" s="6" t="s">
        <v>128</v>
      </c>
      <c r="D30" s="6" t="s">
        <v>129</v>
      </c>
      <c r="E30" s="6">
        <v>1</v>
      </c>
      <c r="F30" s="6" t="s">
        <v>130</v>
      </c>
      <c r="G30" s="16" t="s">
        <v>176</v>
      </c>
      <c r="H30" s="6" t="s">
        <v>177</v>
      </c>
      <c r="I30" s="6" t="s">
        <v>178</v>
      </c>
      <c r="J30" s="6"/>
      <c r="K30" s="6"/>
      <c r="L30" s="13" t="s">
        <v>179</v>
      </c>
    </row>
    <row r="31" spans="1:12" x14ac:dyDescent="0.45">
      <c r="A31" s="6" t="s">
        <v>126</v>
      </c>
      <c r="B31" s="6" t="s">
        <v>127</v>
      </c>
      <c r="C31" s="6" t="s">
        <v>128</v>
      </c>
      <c r="D31" s="6" t="s">
        <v>129</v>
      </c>
      <c r="E31" s="6">
        <v>1</v>
      </c>
      <c r="F31" s="6" t="s">
        <v>130</v>
      </c>
      <c r="G31" s="17" t="s">
        <v>180</v>
      </c>
      <c r="H31" s="6" t="s">
        <v>181</v>
      </c>
      <c r="I31" s="6" t="s">
        <v>133</v>
      </c>
      <c r="J31" s="6"/>
      <c r="K31" s="6" t="s">
        <v>182</v>
      </c>
      <c r="L31" s="13" t="s">
        <v>179</v>
      </c>
    </row>
    <row r="32" spans="1:12" x14ac:dyDescent="0.45">
      <c r="A32" s="6" t="s">
        <v>126</v>
      </c>
      <c r="B32" s="6" t="s">
        <v>127</v>
      </c>
      <c r="C32" s="6" t="s">
        <v>128</v>
      </c>
      <c r="D32" s="6" t="s">
        <v>129</v>
      </c>
      <c r="E32" s="6">
        <v>1</v>
      </c>
      <c r="F32" s="6" t="s">
        <v>130</v>
      </c>
      <c r="G32" s="18" t="s">
        <v>183</v>
      </c>
      <c r="H32" s="6" t="s">
        <v>184</v>
      </c>
      <c r="I32" s="6">
        <v>0</v>
      </c>
      <c r="J32" s="6"/>
      <c r="K32" s="6">
        <v>0.3</v>
      </c>
      <c r="L32" s="13" t="s">
        <v>179</v>
      </c>
    </row>
    <row r="33" spans="1:12" x14ac:dyDescent="0.45">
      <c r="A33" s="6" t="s">
        <v>126</v>
      </c>
      <c r="B33" s="6" t="s">
        <v>127</v>
      </c>
      <c r="C33" s="6" t="s">
        <v>128</v>
      </c>
      <c r="D33" s="6" t="s">
        <v>129</v>
      </c>
      <c r="E33" s="6">
        <v>1</v>
      </c>
      <c r="F33" s="6" t="s">
        <v>130</v>
      </c>
      <c r="G33" s="14" t="s">
        <v>185</v>
      </c>
      <c r="H33" s="6" t="s">
        <v>186</v>
      </c>
      <c r="I33" s="6">
        <v>60100</v>
      </c>
      <c r="J33" s="6"/>
      <c r="K33" s="6"/>
      <c r="L33" s="13" t="s">
        <v>179</v>
      </c>
    </row>
    <row r="34" spans="1:12" x14ac:dyDescent="0.45">
      <c r="A34" s="6" t="s">
        <v>126</v>
      </c>
      <c r="B34" s="6" t="s">
        <v>127</v>
      </c>
      <c r="C34" s="6" t="s">
        <v>128</v>
      </c>
      <c r="D34" s="6" t="s">
        <v>129</v>
      </c>
      <c r="E34" s="6">
        <v>1</v>
      </c>
      <c r="F34" s="6" t="s">
        <v>130</v>
      </c>
      <c r="G34" s="14" t="s">
        <v>187</v>
      </c>
      <c r="H34" s="6" t="s">
        <v>188</v>
      </c>
      <c r="I34" s="6">
        <v>60100</v>
      </c>
      <c r="J34" s="6"/>
      <c r="K34" s="6">
        <v>900000</v>
      </c>
      <c r="L34" s="13" t="s">
        <v>179</v>
      </c>
    </row>
    <row r="35" spans="1:12" x14ac:dyDescent="0.45">
      <c r="A35" s="6" t="s">
        <v>126</v>
      </c>
      <c r="B35" s="6" t="s">
        <v>127</v>
      </c>
      <c r="C35" s="6" t="s">
        <v>128</v>
      </c>
      <c r="D35" s="6" t="s">
        <v>129</v>
      </c>
      <c r="E35" s="6">
        <v>1</v>
      </c>
      <c r="F35" s="6" t="s">
        <v>130</v>
      </c>
      <c r="G35" s="16" t="s">
        <v>189</v>
      </c>
      <c r="H35" s="6" t="s">
        <v>190</v>
      </c>
      <c r="I35" s="6" t="s">
        <v>191</v>
      </c>
      <c r="J35" s="6"/>
      <c r="K35" s="6"/>
      <c r="L35" s="13" t="s">
        <v>192</v>
      </c>
    </row>
    <row r="36" spans="1:12" x14ac:dyDescent="0.45">
      <c r="A36" s="6" t="s">
        <v>126</v>
      </c>
      <c r="B36" s="6" t="s">
        <v>127</v>
      </c>
      <c r="C36" s="6" t="s">
        <v>128</v>
      </c>
      <c r="D36" s="6" t="s">
        <v>129</v>
      </c>
      <c r="E36" s="6">
        <v>1</v>
      </c>
      <c r="F36" s="6" t="s">
        <v>130</v>
      </c>
      <c r="G36" s="17" t="s">
        <v>193</v>
      </c>
      <c r="H36" s="6" t="s">
        <v>194</v>
      </c>
      <c r="I36" s="6" t="s">
        <v>133</v>
      </c>
      <c r="J36" s="6"/>
      <c r="K36" s="6" t="s">
        <v>195</v>
      </c>
      <c r="L36" s="13" t="s">
        <v>192</v>
      </c>
    </row>
    <row r="37" spans="1:12" x14ac:dyDescent="0.45">
      <c r="A37" s="6" t="s">
        <v>126</v>
      </c>
      <c r="B37" s="6" t="s">
        <v>127</v>
      </c>
      <c r="C37" s="6" t="s">
        <v>128</v>
      </c>
      <c r="D37" s="6" t="s">
        <v>129</v>
      </c>
      <c r="E37" s="6">
        <v>1</v>
      </c>
      <c r="F37" s="6" t="s">
        <v>130</v>
      </c>
      <c r="G37" s="18" t="s">
        <v>196</v>
      </c>
      <c r="H37" s="6" t="s">
        <v>197</v>
      </c>
      <c r="I37" s="6">
        <v>0.4</v>
      </c>
      <c r="J37" s="6"/>
      <c r="K37" s="6">
        <v>0.4</v>
      </c>
      <c r="L37" s="13" t="s">
        <v>192</v>
      </c>
    </row>
    <row r="38" spans="1:12" x14ac:dyDescent="0.45">
      <c r="A38" s="6" t="s">
        <v>126</v>
      </c>
      <c r="B38" s="6" t="s">
        <v>127</v>
      </c>
      <c r="C38" s="6" t="s">
        <v>128</v>
      </c>
      <c r="D38" s="6" t="s">
        <v>129</v>
      </c>
      <c r="E38" s="6">
        <v>1</v>
      </c>
      <c r="F38" s="6" t="s">
        <v>130</v>
      </c>
      <c r="G38" s="14" t="s">
        <v>198</v>
      </c>
      <c r="H38" s="6" t="s">
        <v>199</v>
      </c>
      <c r="I38" s="6"/>
      <c r="J38" s="6"/>
      <c r="K38" s="6">
        <v>1800000</v>
      </c>
      <c r="L38" s="13" t="s">
        <v>192</v>
      </c>
    </row>
    <row r="39" spans="1:12" x14ac:dyDescent="0.45">
      <c r="A39" s="6" t="s">
        <v>126</v>
      </c>
      <c r="B39" s="6" t="s">
        <v>127</v>
      </c>
      <c r="C39" s="6" t="s">
        <v>128</v>
      </c>
      <c r="D39" s="6" t="s">
        <v>129</v>
      </c>
      <c r="E39" s="6">
        <v>1</v>
      </c>
      <c r="F39" s="6" t="s">
        <v>130</v>
      </c>
      <c r="G39" s="14" t="s">
        <v>200</v>
      </c>
      <c r="H39" s="6" t="s">
        <v>201</v>
      </c>
      <c r="I39" s="6"/>
      <c r="J39" s="6"/>
      <c r="K39" s="6"/>
      <c r="L39" s="13" t="s">
        <v>192</v>
      </c>
    </row>
    <row r="40" spans="1:12" x14ac:dyDescent="0.45">
      <c r="A40" s="6" t="s">
        <v>126</v>
      </c>
      <c r="B40" s="6" t="s">
        <v>127</v>
      </c>
      <c r="C40" s="6" t="s">
        <v>128</v>
      </c>
      <c r="D40" s="6" t="s">
        <v>129</v>
      </c>
      <c r="E40" s="6">
        <v>1</v>
      </c>
      <c r="F40" s="6" t="s">
        <v>130</v>
      </c>
      <c r="G40" s="16" t="s">
        <v>202</v>
      </c>
      <c r="H40" s="6" t="s">
        <v>203</v>
      </c>
      <c r="I40" s="6"/>
      <c r="J40" s="6"/>
      <c r="K40" s="6"/>
      <c r="L40" s="13" t="s">
        <v>204</v>
      </c>
    </row>
    <row r="41" spans="1:12" x14ac:dyDescent="0.45">
      <c r="A41" s="6" t="s">
        <v>126</v>
      </c>
      <c r="B41" s="6" t="s">
        <v>127</v>
      </c>
      <c r="C41" s="6" t="s">
        <v>128</v>
      </c>
      <c r="D41" s="6" t="s">
        <v>129</v>
      </c>
      <c r="E41" s="6">
        <v>1</v>
      </c>
      <c r="F41" s="6" t="s">
        <v>130</v>
      </c>
      <c r="G41" s="17" t="s">
        <v>205</v>
      </c>
      <c r="H41" s="6" t="s">
        <v>206</v>
      </c>
      <c r="I41" s="6"/>
      <c r="J41" s="6"/>
      <c r="K41" s="6"/>
      <c r="L41" s="13" t="s">
        <v>204</v>
      </c>
    </row>
    <row r="42" spans="1:12" x14ac:dyDescent="0.45">
      <c r="A42" s="6" t="s">
        <v>126</v>
      </c>
      <c r="B42" s="6" t="s">
        <v>127</v>
      </c>
      <c r="C42" s="6" t="s">
        <v>128</v>
      </c>
      <c r="D42" s="6" t="s">
        <v>129</v>
      </c>
      <c r="E42" s="6">
        <v>1</v>
      </c>
      <c r="F42" s="6" t="s">
        <v>130</v>
      </c>
      <c r="G42" s="14" t="s">
        <v>207</v>
      </c>
      <c r="H42" s="6" t="s">
        <v>208</v>
      </c>
      <c r="I42" s="6"/>
      <c r="J42" s="6"/>
      <c r="K42" s="6"/>
      <c r="L42" s="13" t="s">
        <v>136</v>
      </c>
    </row>
    <row r="43" spans="1:12" x14ac:dyDescent="0.45">
      <c r="A43" s="6" t="s">
        <v>126</v>
      </c>
      <c r="B43" s="6" t="s">
        <v>127</v>
      </c>
      <c r="C43" s="6" t="s">
        <v>128</v>
      </c>
      <c r="D43" s="6" t="s">
        <v>129</v>
      </c>
      <c r="E43" s="6">
        <v>1</v>
      </c>
      <c r="F43" s="6" t="s">
        <v>130</v>
      </c>
      <c r="G43" s="14" t="s">
        <v>209</v>
      </c>
      <c r="H43" s="6" t="s">
        <v>210</v>
      </c>
      <c r="I43" s="6"/>
      <c r="J43" s="6"/>
      <c r="K43" s="6"/>
      <c r="L43" s="13" t="s">
        <v>136</v>
      </c>
    </row>
    <row r="44" spans="1:12" x14ac:dyDescent="0.45">
      <c r="A44" s="6" t="s">
        <v>126</v>
      </c>
      <c r="B44" s="6" t="s">
        <v>127</v>
      </c>
      <c r="C44" s="6" t="s">
        <v>128</v>
      </c>
      <c r="D44" s="6" t="s">
        <v>129</v>
      </c>
      <c r="E44" s="6">
        <v>1</v>
      </c>
      <c r="F44" s="6" t="s">
        <v>130</v>
      </c>
      <c r="G44" s="14" t="s">
        <v>211</v>
      </c>
      <c r="H44" s="6" t="s">
        <v>212</v>
      </c>
      <c r="I44" s="6"/>
      <c r="J44" s="6"/>
      <c r="K44" s="6"/>
      <c r="L44" s="13" t="s">
        <v>141</v>
      </c>
    </row>
    <row r="45" spans="1:12" x14ac:dyDescent="0.45">
      <c r="A45" s="6" t="s">
        <v>126</v>
      </c>
      <c r="B45" s="6" t="s">
        <v>127</v>
      </c>
      <c r="C45" s="6" t="s">
        <v>128</v>
      </c>
      <c r="D45" s="6" t="s">
        <v>129</v>
      </c>
      <c r="E45" s="6">
        <v>1</v>
      </c>
      <c r="F45" s="6" t="s">
        <v>130</v>
      </c>
      <c r="G45" s="19" t="s">
        <v>213</v>
      </c>
      <c r="H45" s="6" t="s">
        <v>214</v>
      </c>
      <c r="I45" s="6"/>
      <c r="J45" s="6"/>
      <c r="K45" s="6"/>
      <c r="L45" s="13" t="s">
        <v>136</v>
      </c>
    </row>
    <row r="46" spans="1:12" x14ac:dyDescent="0.45">
      <c r="A46" s="6" t="s">
        <v>126</v>
      </c>
      <c r="B46" s="6" t="s">
        <v>127</v>
      </c>
      <c r="C46" s="6" t="s">
        <v>128</v>
      </c>
      <c r="D46" s="6" t="s">
        <v>129</v>
      </c>
      <c r="E46" s="6">
        <v>1</v>
      </c>
      <c r="F46" s="6" t="s">
        <v>130</v>
      </c>
      <c r="G46" s="19" t="s">
        <v>215</v>
      </c>
      <c r="H46" s="6" t="s">
        <v>216</v>
      </c>
      <c r="I46" s="6"/>
      <c r="J46" s="6"/>
      <c r="K46" s="6"/>
      <c r="L46" s="13" t="s">
        <v>141</v>
      </c>
    </row>
    <row r="47" spans="1:12" x14ac:dyDescent="0.45">
      <c r="A47" s="6" t="s">
        <v>126</v>
      </c>
      <c r="B47" s="6" t="s">
        <v>127</v>
      </c>
      <c r="C47" s="6" t="s">
        <v>128</v>
      </c>
      <c r="D47" s="6" t="s">
        <v>129</v>
      </c>
      <c r="E47" s="6">
        <v>1</v>
      </c>
      <c r="F47" s="6" t="s">
        <v>130</v>
      </c>
      <c r="G47" s="20" t="s">
        <v>217</v>
      </c>
      <c r="H47" s="6" t="s">
        <v>218</v>
      </c>
      <c r="I47" s="6">
        <v>1</v>
      </c>
      <c r="J47" s="6">
        <v>1</v>
      </c>
      <c r="K47" s="6">
        <v>1</v>
      </c>
      <c r="L47" s="13" t="s">
        <v>219</v>
      </c>
    </row>
    <row r="48" spans="1:12" x14ac:dyDescent="0.45">
      <c r="A48" s="6" t="s">
        <v>126</v>
      </c>
      <c r="B48" s="6" t="s">
        <v>127</v>
      </c>
      <c r="C48" s="6" t="s">
        <v>128</v>
      </c>
      <c r="D48" s="6" t="s">
        <v>129</v>
      </c>
      <c r="E48" s="6">
        <v>1</v>
      </c>
      <c r="F48" s="6" t="s">
        <v>130</v>
      </c>
      <c r="G48" s="20" t="s">
        <v>220</v>
      </c>
      <c r="H48" s="6" t="s">
        <v>221</v>
      </c>
      <c r="I48" s="6">
        <v>0</v>
      </c>
      <c r="J48" s="6">
        <v>0</v>
      </c>
      <c r="K48" s="6">
        <v>1</v>
      </c>
      <c r="L48" s="13" t="s">
        <v>222</v>
      </c>
    </row>
    <row r="49" spans="1:12" x14ac:dyDescent="0.45">
      <c r="A49" s="6" t="s">
        <v>126</v>
      </c>
      <c r="B49" s="6" t="s">
        <v>127</v>
      </c>
      <c r="C49" s="6" t="s">
        <v>128</v>
      </c>
      <c r="D49" s="6" t="s">
        <v>129</v>
      </c>
      <c r="E49" s="6">
        <v>2</v>
      </c>
      <c r="F49" s="6" t="s">
        <v>223</v>
      </c>
      <c r="G49" s="74" t="s">
        <v>131</v>
      </c>
      <c r="H49" s="60" t="s">
        <v>224</v>
      </c>
      <c r="I49" s="60"/>
      <c r="J49" s="60"/>
      <c r="K49" s="60" t="s">
        <v>225</v>
      </c>
      <c r="L49" s="62" t="s">
        <v>136</v>
      </c>
    </row>
    <row r="50" spans="1:12" x14ac:dyDescent="0.45">
      <c r="A50" s="6" t="s">
        <v>126</v>
      </c>
      <c r="B50" s="6" t="s">
        <v>127</v>
      </c>
      <c r="C50" s="6" t="s">
        <v>128</v>
      </c>
      <c r="D50" s="6" t="s">
        <v>129</v>
      </c>
      <c r="E50" s="6">
        <v>2</v>
      </c>
      <c r="F50" s="6" t="s">
        <v>223</v>
      </c>
      <c r="G50" s="22" t="s">
        <v>137</v>
      </c>
      <c r="H50" s="6" t="s">
        <v>226</v>
      </c>
      <c r="I50" s="6"/>
      <c r="J50" s="6"/>
      <c r="K50" s="6">
        <v>0</v>
      </c>
      <c r="L50" s="13" t="s">
        <v>136</v>
      </c>
    </row>
    <row r="51" spans="1:12" x14ac:dyDescent="0.45">
      <c r="A51" s="6" t="s">
        <v>126</v>
      </c>
      <c r="B51" s="6" t="s">
        <v>127</v>
      </c>
      <c r="C51" s="6" t="s">
        <v>128</v>
      </c>
      <c r="D51" s="6" t="s">
        <v>129</v>
      </c>
      <c r="E51" s="6">
        <v>2</v>
      </c>
      <c r="F51" s="6" t="s">
        <v>223</v>
      </c>
      <c r="G51" s="22" t="s">
        <v>139</v>
      </c>
      <c r="H51" s="6" t="s">
        <v>227</v>
      </c>
      <c r="I51" s="6"/>
      <c r="J51" s="6"/>
      <c r="K51" s="6">
        <v>630000</v>
      </c>
      <c r="L51" s="13" t="s">
        <v>141</v>
      </c>
    </row>
    <row r="52" spans="1:12" x14ac:dyDescent="0.45">
      <c r="A52" s="6" t="s">
        <v>126</v>
      </c>
      <c r="B52" s="6" t="s">
        <v>127</v>
      </c>
      <c r="C52" s="6" t="s">
        <v>128</v>
      </c>
      <c r="D52" s="6" t="s">
        <v>129</v>
      </c>
      <c r="E52" s="6">
        <v>2</v>
      </c>
      <c r="F52" s="6" t="s">
        <v>223</v>
      </c>
      <c r="G52" s="22" t="s">
        <v>142</v>
      </c>
      <c r="H52" s="6" t="s">
        <v>228</v>
      </c>
      <c r="I52" s="6"/>
      <c r="J52" s="6"/>
      <c r="K52" s="6">
        <v>0.2</v>
      </c>
      <c r="L52" s="13" t="s">
        <v>136</v>
      </c>
    </row>
    <row r="53" spans="1:12" x14ac:dyDescent="0.45">
      <c r="A53" s="6" t="s">
        <v>126</v>
      </c>
      <c r="B53" s="6" t="s">
        <v>127</v>
      </c>
      <c r="C53" s="6" t="s">
        <v>128</v>
      </c>
      <c r="D53" s="6" t="s">
        <v>129</v>
      </c>
      <c r="E53" s="6">
        <v>2</v>
      </c>
      <c r="F53" s="6" t="s">
        <v>223</v>
      </c>
      <c r="G53" s="22" t="s">
        <v>144</v>
      </c>
      <c r="H53" s="6" t="s">
        <v>229</v>
      </c>
      <c r="I53" s="6"/>
      <c r="J53" s="6"/>
      <c r="K53" s="6">
        <v>1500000</v>
      </c>
      <c r="L53" s="13" t="s">
        <v>141</v>
      </c>
    </row>
    <row r="54" spans="1:12" x14ac:dyDescent="0.45">
      <c r="A54" s="6" t="s">
        <v>126</v>
      </c>
      <c r="B54" s="6" t="s">
        <v>127</v>
      </c>
      <c r="C54" s="6" t="s">
        <v>128</v>
      </c>
      <c r="D54" s="6" t="s">
        <v>129</v>
      </c>
      <c r="E54" s="6">
        <v>2</v>
      </c>
      <c r="F54" s="6" t="s">
        <v>223</v>
      </c>
      <c r="G54" s="22" t="s">
        <v>146</v>
      </c>
      <c r="H54" s="6" t="s">
        <v>230</v>
      </c>
      <c r="I54" s="6"/>
      <c r="J54" s="6"/>
      <c r="K54" s="6">
        <v>0.3</v>
      </c>
      <c r="L54" s="13" t="s">
        <v>136</v>
      </c>
    </row>
    <row r="55" spans="1:12" x14ac:dyDescent="0.45">
      <c r="A55" s="6" t="s">
        <v>126</v>
      </c>
      <c r="B55" s="6" t="s">
        <v>127</v>
      </c>
      <c r="C55" s="6" t="s">
        <v>128</v>
      </c>
      <c r="D55" s="6" t="s">
        <v>129</v>
      </c>
      <c r="E55" s="6">
        <v>2</v>
      </c>
      <c r="F55" s="6" t="s">
        <v>223</v>
      </c>
      <c r="G55" s="22" t="s">
        <v>148</v>
      </c>
      <c r="H55" s="6" t="s">
        <v>231</v>
      </c>
      <c r="I55" s="6"/>
      <c r="J55" s="6"/>
      <c r="K55" s="6">
        <v>4000000</v>
      </c>
      <c r="L55" s="13" t="s">
        <v>141</v>
      </c>
    </row>
    <row r="56" spans="1:12" x14ac:dyDescent="0.45">
      <c r="A56" s="6" t="s">
        <v>126</v>
      </c>
      <c r="B56" s="6" t="s">
        <v>127</v>
      </c>
      <c r="C56" s="6" t="s">
        <v>128</v>
      </c>
      <c r="D56" s="6" t="s">
        <v>129</v>
      </c>
      <c r="E56" s="6">
        <v>2</v>
      </c>
      <c r="F56" s="6" t="s">
        <v>223</v>
      </c>
      <c r="G56" s="22" t="s">
        <v>150</v>
      </c>
      <c r="H56" s="6" t="s">
        <v>232</v>
      </c>
      <c r="I56" s="6"/>
      <c r="J56" s="6"/>
      <c r="K56" s="6">
        <v>0.35</v>
      </c>
      <c r="L56" s="13" t="s">
        <v>136</v>
      </c>
    </row>
    <row r="57" spans="1:12" x14ac:dyDescent="0.45">
      <c r="A57" s="6" t="s">
        <v>126</v>
      </c>
      <c r="B57" s="6" t="s">
        <v>127</v>
      </c>
      <c r="C57" s="6" t="s">
        <v>128</v>
      </c>
      <c r="D57" s="6" t="s">
        <v>129</v>
      </c>
      <c r="E57" s="6">
        <v>2</v>
      </c>
      <c r="F57" s="6" t="s">
        <v>223</v>
      </c>
      <c r="G57" s="22" t="s">
        <v>152</v>
      </c>
      <c r="H57" s="6" t="s">
        <v>233</v>
      </c>
      <c r="I57" s="6"/>
      <c r="J57" s="6"/>
      <c r="K57" s="6">
        <v>8000000</v>
      </c>
      <c r="L57" s="13" t="s">
        <v>141</v>
      </c>
    </row>
    <row r="58" spans="1:12" x14ac:dyDescent="0.45">
      <c r="A58" s="6" t="s">
        <v>126</v>
      </c>
      <c r="B58" s="6" t="s">
        <v>127</v>
      </c>
      <c r="C58" s="6" t="s">
        <v>128</v>
      </c>
      <c r="D58" s="6" t="s">
        <v>129</v>
      </c>
      <c r="E58" s="6">
        <v>2</v>
      </c>
      <c r="F58" s="6" t="s">
        <v>223</v>
      </c>
      <c r="G58" s="22" t="s">
        <v>154</v>
      </c>
      <c r="H58" s="6" t="s">
        <v>234</v>
      </c>
      <c r="I58" s="6"/>
      <c r="J58" s="6"/>
      <c r="K58" s="6">
        <v>0.37</v>
      </c>
      <c r="L58" s="13" t="s">
        <v>136</v>
      </c>
    </row>
    <row r="59" spans="1:12" x14ac:dyDescent="0.45">
      <c r="A59" s="6" t="s">
        <v>126</v>
      </c>
      <c r="B59" s="6" t="s">
        <v>127</v>
      </c>
      <c r="C59" s="6" t="s">
        <v>128</v>
      </c>
      <c r="D59" s="6" t="s">
        <v>129</v>
      </c>
      <c r="E59" s="6">
        <v>2</v>
      </c>
      <c r="F59" s="6" t="s">
        <v>223</v>
      </c>
      <c r="G59" s="22" t="s">
        <v>156</v>
      </c>
      <c r="H59" s="6" t="s">
        <v>235</v>
      </c>
      <c r="I59" s="6"/>
      <c r="J59" s="6"/>
      <c r="K59" s="6">
        <v>13500000</v>
      </c>
      <c r="L59" s="13" t="s">
        <v>141</v>
      </c>
    </row>
    <row r="60" spans="1:12" x14ac:dyDescent="0.45">
      <c r="A60" s="6" t="s">
        <v>126</v>
      </c>
      <c r="B60" s="6" t="s">
        <v>127</v>
      </c>
      <c r="C60" s="6" t="s">
        <v>128</v>
      </c>
      <c r="D60" s="6" t="s">
        <v>129</v>
      </c>
      <c r="E60" s="6">
        <v>2</v>
      </c>
      <c r="F60" s="6" t="s">
        <v>223</v>
      </c>
      <c r="G60" s="22" t="s">
        <v>158</v>
      </c>
      <c r="H60" s="6" t="s">
        <v>236</v>
      </c>
      <c r="I60" s="6"/>
      <c r="J60" s="6"/>
      <c r="K60" s="6">
        <v>0.4</v>
      </c>
      <c r="L60" s="13" t="s">
        <v>136</v>
      </c>
    </row>
    <row r="61" spans="1:12" x14ac:dyDescent="0.45">
      <c r="A61" s="6" t="s">
        <v>126</v>
      </c>
      <c r="B61" s="6" t="s">
        <v>127</v>
      </c>
      <c r="C61" s="6" t="s">
        <v>128</v>
      </c>
      <c r="D61" s="6" t="s">
        <v>129</v>
      </c>
      <c r="E61" s="6">
        <v>2</v>
      </c>
      <c r="F61" s="6" t="s">
        <v>223</v>
      </c>
      <c r="G61" s="22" t="s">
        <v>160</v>
      </c>
      <c r="H61" s="6" t="s">
        <v>237</v>
      </c>
      <c r="I61" s="6"/>
      <c r="J61" s="6"/>
      <c r="K61" s="6">
        <v>50000000</v>
      </c>
      <c r="L61" s="13" t="s">
        <v>141</v>
      </c>
    </row>
    <row r="62" spans="1:12" x14ac:dyDescent="0.45">
      <c r="A62" s="6" t="s">
        <v>126</v>
      </c>
      <c r="B62" s="6" t="s">
        <v>127</v>
      </c>
      <c r="C62" s="6" t="s">
        <v>128</v>
      </c>
      <c r="D62" s="6" t="s">
        <v>129</v>
      </c>
      <c r="E62" s="6">
        <v>2</v>
      </c>
      <c r="F62" s="6" t="s">
        <v>223</v>
      </c>
      <c r="G62" s="22" t="s">
        <v>162</v>
      </c>
      <c r="H62" s="6" t="s">
        <v>238</v>
      </c>
      <c r="I62" s="6"/>
      <c r="J62" s="6"/>
      <c r="K62" s="6">
        <v>0.43</v>
      </c>
      <c r="L62" s="13" t="s">
        <v>136</v>
      </c>
    </row>
    <row r="63" spans="1:12" x14ac:dyDescent="0.45">
      <c r="A63" s="6" t="s">
        <v>126</v>
      </c>
      <c r="B63" s="6" t="s">
        <v>127</v>
      </c>
      <c r="C63" s="6" t="s">
        <v>128</v>
      </c>
      <c r="D63" s="6" t="s">
        <v>129</v>
      </c>
      <c r="E63" s="6">
        <v>2</v>
      </c>
      <c r="F63" s="6" t="s">
        <v>223</v>
      </c>
      <c r="G63" s="22" t="s">
        <v>164</v>
      </c>
      <c r="H63" s="6" t="s">
        <v>239</v>
      </c>
      <c r="I63" s="6"/>
      <c r="J63" s="6"/>
      <c r="K63" s="6"/>
      <c r="L63" s="13" t="s">
        <v>141</v>
      </c>
    </row>
    <row r="64" spans="1:12" x14ac:dyDescent="0.45">
      <c r="A64" s="6" t="s">
        <v>126</v>
      </c>
      <c r="B64" s="6" t="s">
        <v>127</v>
      </c>
      <c r="C64" s="6" t="s">
        <v>128</v>
      </c>
      <c r="D64" s="6" t="s">
        <v>129</v>
      </c>
      <c r="E64" s="6">
        <v>2</v>
      </c>
      <c r="F64" s="6" t="s">
        <v>223</v>
      </c>
      <c r="G64" s="22" t="s">
        <v>166</v>
      </c>
      <c r="H64" s="6" t="s">
        <v>240</v>
      </c>
      <c r="I64" s="6"/>
      <c r="J64" s="6"/>
      <c r="K64" s="6"/>
      <c r="L64" s="13" t="s">
        <v>136</v>
      </c>
    </row>
    <row r="65" spans="1:12" x14ac:dyDescent="0.45">
      <c r="A65" s="6" t="s">
        <v>126</v>
      </c>
      <c r="B65" s="6" t="s">
        <v>127</v>
      </c>
      <c r="C65" s="6" t="s">
        <v>128</v>
      </c>
      <c r="D65" s="6" t="s">
        <v>129</v>
      </c>
      <c r="E65" s="6">
        <v>2</v>
      </c>
      <c r="F65" s="6" t="s">
        <v>223</v>
      </c>
      <c r="G65" s="22" t="s">
        <v>168</v>
      </c>
      <c r="H65" s="6" t="s">
        <v>241</v>
      </c>
      <c r="I65" s="6"/>
      <c r="J65" s="6"/>
      <c r="K65" s="6"/>
      <c r="L65" s="13" t="s">
        <v>141</v>
      </c>
    </row>
    <row r="66" spans="1:12" x14ac:dyDescent="0.45">
      <c r="A66" s="6" t="s">
        <v>126</v>
      </c>
      <c r="B66" s="6" t="s">
        <v>127</v>
      </c>
      <c r="C66" s="6" t="s">
        <v>128</v>
      </c>
      <c r="D66" s="6" t="s">
        <v>129</v>
      </c>
      <c r="E66" s="6">
        <v>2</v>
      </c>
      <c r="F66" s="6" t="s">
        <v>223</v>
      </c>
      <c r="G66" s="22" t="s">
        <v>170</v>
      </c>
      <c r="H66" s="6" t="s">
        <v>242</v>
      </c>
      <c r="I66" s="6"/>
      <c r="J66" s="6"/>
      <c r="K66" s="6"/>
      <c r="L66" s="13" t="s">
        <v>136</v>
      </c>
    </row>
    <row r="67" spans="1:12" x14ac:dyDescent="0.45">
      <c r="A67" s="6" t="s">
        <v>126</v>
      </c>
      <c r="B67" s="6" t="s">
        <v>127</v>
      </c>
      <c r="C67" s="6" t="s">
        <v>128</v>
      </c>
      <c r="D67" s="6" t="s">
        <v>129</v>
      </c>
      <c r="E67" s="6">
        <v>2</v>
      </c>
      <c r="F67" s="6" t="s">
        <v>223</v>
      </c>
      <c r="G67" s="22" t="s">
        <v>172</v>
      </c>
      <c r="H67" s="6" t="s">
        <v>243</v>
      </c>
      <c r="I67" s="6"/>
      <c r="J67" s="6"/>
      <c r="K67" s="6"/>
      <c r="L67" s="13" t="s">
        <v>141</v>
      </c>
    </row>
    <row r="68" spans="1:12" x14ac:dyDescent="0.45">
      <c r="A68" s="6" t="s">
        <v>126</v>
      </c>
      <c r="B68" s="6" t="s">
        <v>127</v>
      </c>
      <c r="C68" s="6" t="s">
        <v>128</v>
      </c>
      <c r="D68" s="6" t="s">
        <v>129</v>
      </c>
      <c r="E68" s="6">
        <v>2</v>
      </c>
      <c r="F68" s="6" t="s">
        <v>223</v>
      </c>
      <c r="G68" s="22" t="s">
        <v>174</v>
      </c>
      <c r="H68" s="6" t="s">
        <v>244</v>
      </c>
      <c r="I68" s="6"/>
      <c r="J68" s="6"/>
      <c r="K68" s="6"/>
      <c r="L68" s="13" t="s">
        <v>136</v>
      </c>
    </row>
    <row r="69" spans="1:12" x14ac:dyDescent="0.45">
      <c r="A69" s="6" t="s">
        <v>126</v>
      </c>
      <c r="B69" s="6" t="s">
        <v>127</v>
      </c>
      <c r="C69" s="6" t="s">
        <v>128</v>
      </c>
      <c r="D69" s="6" t="s">
        <v>129</v>
      </c>
      <c r="E69" s="6">
        <v>2</v>
      </c>
      <c r="F69" s="6" t="s">
        <v>223</v>
      </c>
      <c r="G69" s="23" t="s">
        <v>176</v>
      </c>
      <c r="H69" s="6" t="s">
        <v>245</v>
      </c>
      <c r="I69" s="6"/>
      <c r="J69" s="6"/>
      <c r="K69" s="6" t="s">
        <v>246</v>
      </c>
      <c r="L69" s="13" t="s">
        <v>204</v>
      </c>
    </row>
    <row r="70" spans="1:12" x14ac:dyDescent="0.45">
      <c r="A70" s="6" t="s">
        <v>126</v>
      </c>
      <c r="B70" s="6" t="s">
        <v>127</v>
      </c>
      <c r="C70" s="6" t="s">
        <v>128</v>
      </c>
      <c r="D70" s="6" t="s">
        <v>129</v>
      </c>
      <c r="E70" s="6">
        <v>2</v>
      </c>
      <c r="F70" s="6" t="s">
        <v>223</v>
      </c>
      <c r="G70" s="24" t="s">
        <v>180</v>
      </c>
      <c r="H70" s="6" t="s">
        <v>247</v>
      </c>
      <c r="I70" s="6"/>
      <c r="J70" s="6"/>
      <c r="K70" s="60" t="s">
        <v>225</v>
      </c>
      <c r="L70" s="13" t="s">
        <v>204</v>
      </c>
    </row>
    <row r="71" spans="1:12" x14ac:dyDescent="0.45">
      <c r="A71" s="6" t="s">
        <v>126</v>
      </c>
      <c r="B71" s="6" t="s">
        <v>127</v>
      </c>
      <c r="C71" s="6" t="s">
        <v>128</v>
      </c>
      <c r="D71" s="6" t="s">
        <v>129</v>
      </c>
      <c r="E71" s="6">
        <v>2</v>
      </c>
      <c r="F71" s="6" t="s">
        <v>223</v>
      </c>
      <c r="G71" s="25" t="s">
        <v>183</v>
      </c>
      <c r="H71" s="6" t="s">
        <v>248</v>
      </c>
      <c r="I71" s="6"/>
      <c r="J71" s="6"/>
      <c r="K71" s="6">
        <v>0.15</v>
      </c>
      <c r="L71" s="13" t="s">
        <v>249</v>
      </c>
    </row>
    <row r="72" spans="1:12" x14ac:dyDescent="0.45">
      <c r="A72" s="6" t="s">
        <v>126</v>
      </c>
      <c r="B72" s="6" t="s">
        <v>127</v>
      </c>
      <c r="C72" s="6" t="s">
        <v>128</v>
      </c>
      <c r="D72" s="6" t="s">
        <v>129</v>
      </c>
      <c r="E72" s="6">
        <v>2</v>
      </c>
      <c r="F72" s="6" t="s">
        <v>223</v>
      </c>
      <c r="G72" s="21" t="s">
        <v>185</v>
      </c>
      <c r="H72" s="6" t="s">
        <v>250</v>
      </c>
      <c r="I72" s="6"/>
      <c r="J72" s="6"/>
      <c r="K72" s="6"/>
      <c r="L72" s="13" t="s">
        <v>249</v>
      </c>
    </row>
    <row r="73" spans="1:12" x14ac:dyDescent="0.45">
      <c r="A73" s="6" t="s">
        <v>126</v>
      </c>
      <c r="B73" s="6" t="s">
        <v>127</v>
      </c>
      <c r="C73" s="6" t="s">
        <v>128</v>
      </c>
      <c r="D73" s="6" t="s">
        <v>129</v>
      </c>
      <c r="E73" s="6">
        <v>2</v>
      </c>
      <c r="F73" s="6" t="s">
        <v>223</v>
      </c>
      <c r="G73" s="21" t="s">
        <v>187</v>
      </c>
      <c r="H73" s="6" t="s">
        <v>251</v>
      </c>
      <c r="I73" s="6"/>
      <c r="J73" s="6"/>
      <c r="K73" s="6"/>
      <c r="L73" s="13" t="s">
        <v>249</v>
      </c>
    </row>
    <row r="74" spans="1:12" x14ac:dyDescent="0.45">
      <c r="A74" s="6" t="s">
        <v>126</v>
      </c>
      <c r="B74" s="6" t="s">
        <v>127</v>
      </c>
      <c r="C74" s="6" t="s">
        <v>128</v>
      </c>
      <c r="D74" s="6" t="s">
        <v>129</v>
      </c>
      <c r="E74" s="6">
        <v>2</v>
      </c>
      <c r="F74" s="6" t="s">
        <v>223</v>
      </c>
      <c r="G74" s="23" t="s">
        <v>189</v>
      </c>
      <c r="H74" s="6" t="s">
        <v>252</v>
      </c>
      <c r="I74" s="6"/>
      <c r="J74" s="6"/>
      <c r="K74" s="6"/>
      <c r="L74" s="13" t="s">
        <v>204</v>
      </c>
    </row>
    <row r="75" spans="1:12" x14ac:dyDescent="0.45">
      <c r="A75" s="6" t="s">
        <v>126</v>
      </c>
      <c r="B75" s="6" t="s">
        <v>127</v>
      </c>
      <c r="C75" s="6" t="s">
        <v>128</v>
      </c>
      <c r="D75" s="6" t="s">
        <v>129</v>
      </c>
      <c r="E75" s="6">
        <v>2</v>
      </c>
      <c r="F75" s="6" t="s">
        <v>223</v>
      </c>
      <c r="G75" s="24" t="s">
        <v>193</v>
      </c>
      <c r="H75" s="6" t="s">
        <v>253</v>
      </c>
      <c r="I75" s="6"/>
      <c r="J75" s="6"/>
      <c r="K75" s="6"/>
      <c r="L75" s="13" t="s">
        <v>204</v>
      </c>
    </row>
    <row r="76" spans="1:12" x14ac:dyDescent="0.45">
      <c r="A76" s="6" t="s">
        <v>126</v>
      </c>
      <c r="B76" s="6" t="s">
        <v>127</v>
      </c>
      <c r="C76" s="6" t="s">
        <v>128</v>
      </c>
      <c r="D76" s="6" t="s">
        <v>129</v>
      </c>
      <c r="E76" s="6">
        <v>2</v>
      </c>
      <c r="F76" s="6" t="s">
        <v>223</v>
      </c>
      <c r="G76" s="25" t="s">
        <v>196</v>
      </c>
      <c r="H76" s="6" t="s">
        <v>254</v>
      </c>
      <c r="I76" s="6"/>
      <c r="J76" s="6"/>
      <c r="K76" s="6"/>
      <c r="L76" s="13" t="s">
        <v>136</v>
      </c>
    </row>
    <row r="77" spans="1:12" x14ac:dyDescent="0.45">
      <c r="A77" s="6" t="s">
        <v>126</v>
      </c>
      <c r="B77" s="6" t="s">
        <v>127</v>
      </c>
      <c r="C77" s="6" t="s">
        <v>128</v>
      </c>
      <c r="D77" s="6" t="s">
        <v>129</v>
      </c>
      <c r="E77" s="6">
        <v>2</v>
      </c>
      <c r="F77" s="6" t="s">
        <v>223</v>
      </c>
      <c r="G77" s="21" t="s">
        <v>198</v>
      </c>
      <c r="H77" s="6" t="s">
        <v>255</v>
      </c>
      <c r="I77" s="6"/>
      <c r="J77" s="6"/>
      <c r="K77" s="6"/>
      <c r="L77" s="13" t="s">
        <v>136</v>
      </c>
    </row>
    <row r="78" spans="1:12" x14ac:dyDescent="0.45">
      <c r="A78" s="6" t="s">
        <v>126</v>
      </c>
      <c r="B78" s="6" t="s">
        <v>127</v>
      </c>
      <c r="C78" s="6" t="s">
        <v>128</v>
      </c>
      <c r="D78" s="6" t="s">
        <v>129</v>
      </c>
      <c r="E78" s="6">
        <v>2</v>
      </c>
      <c r="F78" s="6" t="s">
        <v>223</v>
      </c>
      <c r="G78" s="21" t="s">
        <v>200</v>
      </c>
      <c r="H78" s="6" t="s">
        <v>256</v>
      </c>
      <c r="I78" s="6"/>
      <c r="J78" s="6"/>
      <c r="K78" s="6"/>
      <c r="L78" s="13" t="s">
        <v>141</v>
      </c>
    </row>
    <row r="79" spans="1:12" x14ac:dyDescent="0.45">
      <c r="A79" s="6" t="s">
        <v>126</v>
      </c>
      <c r="B79" s="6" t="s">
        <v>127</v>
      </c>
      <c r="C79" s="6" t="s">
        <v>128</v>
      </c>
      <c r="D79" s="6" t="s">
        <v>129</v>
      </c>
      <c r="E79" s="6">
        <v>2</v>
      </c>
      <c r="F79" s="6" t="s">
        <v>223</v>
      </c>
      <c r="G79" s="23" t="s">
        <v>202</v>
      </c>
      <c r="H79" s="6" t="s">
        <v>257</v>
      </c>
      <c r="I79" s="6"/>
      <c r="J79" s="6"/>
      <c r="K79" s="6"/>
      <c r="L79" s="13" t="s">
        <v>204</v>
      </c>
    </row>
    <row r="80" spans="1:12" x14ac:dyDescent="0.45">
      <c r="A80" s="6" t="s">
        <v>126</v>
      </c>
      <c r="B80" s="6" t="s">
        <v>127</v>
      </c>
      <c r="C80" s="6" t="s">
        <v>128</v>
      </c>
      <c r="D80" s="6" t="s">
        <v>129</v>
      </c>
      <c r="E80" s="6">
        <v>2</v>
      </c>
      <c r="F80" s="6" t="s">
        <v>223</v>
      </c>
      <c r="G80" s="24" t="s">
        <v>205</v>
      </c>
      <c r="H80" s="6" t="s">
        <v>258</v>
      </c>
      <c r="I80" s="6"/>
      <c r="J80" s="6"/>
      <c r="K80" s="6"/>
      <c r="L80" s="13" t="s">
        <v>204</v>
      </c>
    </row>
    <row r="81" spans="1:12" x14ac:dyDescent="0.45">
      <c r="A81" s="6" t="s">
        <v>126</v>
      </c>
      <c r="B81" s="6" t="s">
        <v>127</v>
      </c>
      <c r="C81" s="6" t="s">
        <v>128</v>
      </c>
      <c r="D81" s="6" t="s">
        <v>129</v>
      </c>
      <c r="E81" s="6">
        <v>2</v>
      </c>
      <c r="F81" s="6" t="s">
        <v>223</v>
      </c>
      <c r="G81" s="25" t="s">
        <v>207</v>
      </c>
      <c r="H81" s="6" t="s">
        <v>259</v>
      </c>
      <c r="I81" s="6"/>
      <c r="J81" s="6"/>
      <c r="K81" s="6"/>
      <c r="L81" s="13" t="s">
        <v>136</v>
      </c>
    </row>
    <row r="82" spans="1:12" x14ac:dyDescent="0.45">
      <c r="A82" s="6" t="s">
        <v>126</v>
      </c>
      <c r="B82" s="6" t="s">
        <v>127</v>
      </c>
      <c r="C82" s="6" t="s">
        <v>128</v>
      </c>
      <c r="D82" s="6" t="s">
        <v>129</v>
      </c>
      <c r="E82" s="6">
        <v>2</v>
      </c>
      <c r="F82" s="6" t="s">
        <v>223</v>
      </c>
      <c r="G82" s="21" t="s">
        <v>209</v>
      </c>
      <c r="H82" s="6" t="s">
        <v>260</v>
      </c>
      <c r="I82" s="6"/>
      <c r="J82" s="6"/>
      <c r="K82" s="6"/>
      <c r="L82" s="13" t="s">
        <v>136</v>
      </c>
    </row>
    <row r="83" spans="1:12" x14ac:dyDescent="0.45">
      <c r="A83" s="6" t="s">
        <v>126</v>
      </c>
      <c r="B83" s="6" t="s">
        <v>127</v>
      </c>
      <c r="C83" s="6" t="s">
        <v>128</v>
      </c>
      <c r="D83" s="6" t="s">
        <v>129</v>
      </c>
      <c r="E83" s="6">
        <v>2</v>
      </c>
      <c r="F83" s="6" t="s">
        <v>223</v>
      </c>
      <c r="G83" s="21" t="s">
        <v>211</v>
      </c>
      <c r="H83" s="6" t="s">
        <v>261</v>
      </c>
      <c r="I83" s="6"/>
      <c r="J83" s="6"/>
      <c r="K83" s="6"/>
      <c r="L83" s="13" t="s">
        <v>141</v>
      </c>
    </row>
    <row r="84" spans="1:12" x14ac:dyDescent="0.45">
      <c r="A84" s="6" t="s">
        <v>126</v>
      </c>
      <c r="B84" s="6" t="s">
        <v>127</v>
      </c>
      <c r="C84" s="6" t="s">
        <v>128</v>
      </c>
      <c r="D84" s="6" t="s">
        <v>129</v>
      </c>
      <c r="E84" s="6">
        <v>2</v>
      </c>
      <c r="F84" s="6" t="s">
        <v>223</v>
      </c>
      <c r="G84" s="75" t="s">
        <v>213</v>
      </c>
      <c r="H84" s="60" t="s">
        <v>262</v>
      </c>
      <c r="I84" s="60"/>
      <c r="J84" s="60"/>
      <c r="K84" s="60"/>
      <c r="L84" s="62" t="s">
        <v>136</v>
      </c>
    </row>
    <row r="85" spans="1:12" x14ac:dyDescent="0.45">
      <c r="A85" s="6" t="s">
        <v>126</v>
      </c>
      <c r="B85" s="6" t="s">
        <v>127</v>
      </c>
      <c r="C85" s="6" t="s">
        <v>128</v>
      </c>
      <c r="D85" s="6" t="s">
        <v>129</v>
      </c>
      <c r="E85" s="6">
        <v>2</v>
      </c>
      <c r="F85" s="6" t="s">
        <v>223</v>
      </c>
      <c r="G85" s="26" t="s">
        <v>215</v>
      </c>
      <c r="H85" s="6" t="s">
        <v>263</v>
      </c>
      <c r="I85" s="6"/>
      <c r="J85" s="6"/>
      <c r="K85" s="6"/>
      <c r="L85" s="13" t="s">
        <v>141</v>
      </c>
    </row>
    <row r="86" spans="1:12" x14ac:dyDescent="0.45">
      <c r="A86" s="6" t="s">
        <v>126</v>
      </c>
      <c r="B86" s="6" t="s">
        <v>127</v>
      </c>
      <c r="C86" s="6" t="s">
        <v>128</v>
      </c>
      <c r="D86" s="6" t="s">
        <v>129</v>
      </c>
      <c r="E86" s="6">
        <v>2</v>
      </c>
      <c r="F86" s="6" t="s">
        <v>223</v>
      </c>
      <c r="G86" s="27" t="s">
        <v>217</v>
      </c>
      <c r="H86" s="6" t="s">
        <v>264</v>
      </c>
      <c r="I86" s="6"/>
      <c r="J86" s="6"/>
      <c r="K86" s="6">
        <v>1</v>
      </c>
      <c r="L86" s="13" t="s">
        <v>219</v>
      </c>
    </row>
    <row r="87" spans="1:12" x14ac:dyDescent="0.45">
      <c r="A87" s="6" t="s">
        <v>126</v>
      </c>
      <c r="B87" s="6" t="s">
        <v>127</v>
      </c>
      <c r="C87" s="6" t="s">
        <v>128</v>
      </c>
      <c r="D87" s="6" t="s">
        <v>129</v>
      </c>
      <c r="E87" s="6">
        <v>2</v>
      </c>
      <c r="F87" s="6" t="s">
        <v>223</v>
      </c>
      <c r="G87" s="27" t="s">
        <v>220</v>
      </c>
      <c r="H87" s="6" t="s">
        <v>265</v>
      </c>
      <c r="I87" s="6"/>
      <c r="J87" s="6"/>
      <c r="K87" s="6">
        <v>1</v>
      </c>
      <c r="L87" s="13" t="s">
        <v>222</v>
      </c>
    </row>
    <row r="88" spans="1:12" x14ac:dyDescent="0.45">
      <c r="A88" s="6" t="s">
        <v>126</v>
      </c>
      <c r="B88" s="6" t="s">
        <v>127</v>
      </c>
      <c r="C88" s="6" t="s">
        <v>128</v>
      </c>
      <c r="D88" s="6" t="s">
        <v>129</v>
      </c>
      <c r="E88" s="6">
        <v>3</v>
      </c>
      <c r="F88" s="6" t="s">
        <v>266</v>
      </c>
      <c r="G88" s="28" t="s">
        <v>267</v>
      </c>
      <c r="H88" s="6" t="s">
        <v>268</v>
      </c>
      <c r="I88" s="6"/>
      <c r="J88" s="6"/>
      <c r="K88" s="6">
        <v>0</v>
      </c>
      <c r="L88" s="13" t="s">
        <v>204</v>
      </c>
    </row>
    <row r="89" spans="1:12" x14ac:dyDescent="0.45">
      <c r="A89" s="6" t="s">
        <v>126</v>
      </c>
      <c r="B89" s="6" t="s">
        <v>127</v>
      </c>
      <c r="C89" s="6" t="s">
        <v>128</v>
      </c>
      <c r="D89" s="6" t="s">
        <v>129</v>
      </c>
      <c r="E89" s="6">
        <v>3</v>
      </c>
      <c r="F89" s="6" t="s">
        <v>266</v>
      </c>
      <c r="G89" s="28" t="s">
        <v>137</v>
      </c>
      <c r="H89" s="6" t="s">
        <v>269</v>
      </c>
      <c r="I89" s="6"/>
      <c r="J89" s="6"/>
      <c r="K89" s="6">
        <v>0</v>
      </c>
      <c r="L89" s="13" t="s">
        <v>204</v>
      </c>
    </row>
    <row r="90" spans="1:12" x14ac:dyDescent="0.45">
      <c r="A90" s="6" t="s">
        <v>126</v>
      </c>
      <c r="B90" s="6" t="s">
        <v>127</v>
      </c>
      <c r="C90" s="6" t="s">
        <v>128</v>
      </c>
      <c r="D90" s="6" t="s">
        <v>129</v>
      </c>
      <c r="E90" s="6">
        <v>3</v>
      </c>
      <c r="F90" s="6" t="s">
        <v>266</v>
      </c>
      <c r="G90" s="28" t="s">
        <v>270</v>
      </c>
      <c r="H90" s="6" t="s">
        <v>271</v>
      </c>
      <c r="I90" s="6"/>
      <c r="J90" s="6"/>
      <c r="K90" s="6">
        <v>0</v>
      </c>
      <c r="L90" s="13" t="s">
        <v>204</v>
      </c>
    </row>
    <row r="91" spans="1:12" x14ac:dyDescent="0.45">
      <c r="A91" s="6" t="s">
        <v>126</v>
      </c>
      <c r="B91" s="6" t="s">
        <v>127</v>
      </c>
      <c r="C91" s="6" t="s">
        <v>128</v>
      </c>
      <c r="D91" s="6" t="s">
        <v>129</v>
      </c>
      <c r="E91" s="6">
        <v>3</v>
      </c>
      <c r="F91" s="6" t="s">
        <v>266</v>
      </c>
      <c r="G91" s="28" t="s">
        <v>139</v>
      </c>
      <c r="H91" s="6" t="s">
        <v>272</v>
      </c>
      <c r="I91" s="6"/>
      <c r="J91" s="6"/>
      <c r="K91" s="6">
        <v>0</v>
      </c>
      <c r="L91" s="13" t="s">
        <v>204</v>
      </c>
    </row>
    <row r="92" spans="1:12" x14ac:dyDescent="0.45">
      <c r="A92" s="6" t="s">
        <v>126</v>
      </c>
      <c r="B92" s="6" t="s">
        <v>127</v>
      </c>
      <c r="C92" s="6" t="s">
        <v>128</v>
      </c>
      <c r="D92" s="6" t="s">
        <v>129</v>
      </c>
      <c r="E92" s="6">
        <v>3</v>
      </c>
      <c r="F92" s="6" t="s">
        <v>266</v>
      </c>
      <c r="G92" s="28" t="s">
        <v>273</v>
      </c>
      <c r="H92" s="6" t="s">
        <v>274</v>
      </c>
      <c r="I92" s="6"/>
      <c r="J92" s="6"/>
      <c r="K92" s="6">
        <v>0.5</v>
      </c>
      <c r="L92" s="13" t="s">
        <v>204</v>
      </c>
    </row>
    <row r="93" spans="1:12" x14ac:dyDescent="0.45">
      <c r="A93" s="6" t="s">
        <v>126</v>
      </c>
      <c r="B93" s="6" t="s">
        <v>127</v>
      </c>
      <c r="C93" s="6" t="s">
        <v>128</v>
      </c>
      <c r="D93" s="6" t="s">
        <v>129</v>
      </c>
      <c r="E93" s="6">
        <v>3</v>
      </c>
      <c r="F93" s="6" t="s">
        <v>266</v>
      </c>
      <c r="G93" s="28" t="s">
        <v>142</v>
      </c>
      <c r="H93" s="6" t="s">
        <v>275</v>
      </c>
      <c r="I93" s="6"/>
      <c r="J93" s="6"/>
      <c r="K93" s="6">
        <v>0</v>
      </c>
      <c r="L93" s="13" t="s">
        <v>204</v>
      </c>
    </row>
    <row r="94" spans="1:12" x14ac:dyDescent="0.45">
      <c r="A94" s="6" t="s">
        <v>126</v>
      </c>
      <c r="B94" s="6" t="s">
        <v>127</v>
      </c>
      <c r="C94" s="6" t="s">
        <v>128</v>
      </c>
      <c r="D94" s="6" t="s">
        <v>129</v>
      </c>
      <c r="E94" s="6">
        <v>3</v>
      </c>
      <c r="F94" s="6" t="s">
        <v>266</v>
      </c>
      <c r="G94" s="28" t="s">
        <v>276</v>
      </c>
      <c r="H94" s="6" t="s">
        <v>277</v>
      </c>
      <c r="I94" s="6"/>
      <c r="J94" s="6"/>
      <c r="K94" s="6">
        <v>0</v>
      </c>
      <c r="L94" s="13" t="s">
        <v>204</v>
      </c>
    </row>
    <row r="95" spans="1:12" x14ac:dyDescent="0.45">
      <c r="A95" s="6" t="s">
        <v>126</v>
      </c>
      <c r="B95" s="6" t="s">
        <v>127</v>
      </c>
      <c r="C95" s="6" t="s">
        <v>128</v>
      </c>
      <c r="D95" s="6" t="s">
        <v>129</v>
      </c>
      <c r="E95" s="6">
        <v>3</v>
      </c>
      <c r="F95" s="6" t="s">
        <v>266</v>
      </c>
      <c r="G95" s="28" t="s">
        <v>144</v>
      </c>
      <c r="H95" s="6" t="s">
        <v>278</v>
      </c>
      <c r="I95" s="6"/>
      <c r="J95" s="6"/>
      <c r="K95" s="6">
        <v>0</v>
      </c>
      <c r="L95" s="13" t="s">
        <v>204</v>
      </c>
    </row>
    <row r="96" spans="1:12" x14ac:dyDescent="0.45">
      <c r="A96" s="6" t="s">
        <v>126</v>
      </c>
      <c r="B96" s="6" t="s">
        <v>127</v>
      </c>
      <c r="C96" s="6" t="s">
        <v>128</v>
      </c>
      <c r="D96" s="6" t="s">
        <v>129</v>
      </c>
      <c r="E96" s="6">
        <v>3</v>
      </c>
      <c r="F96" s="6" t="s">
        <v>266</v>
      </c>
      <c r="G96" s="28" t="s">
        <v>279</v>
      </c>
      <c r="H96" s="6" t="s">
        <v>280</v>
      </c>
      <c r="I96" s="6"/>
      <c r="J96" s="6"/>
      <c r="K96" s="6">
        <v>1</v>
      </c>
      <c r="L96" s="13" t="s">
        <v>204</v>
      </c>
    </row>
    <row r="97" spans="1:12" x14ac:dyDescent="0.45">
      <c r="A97" s="6" t="s">
        <v>126</v>
      </c>
      <c r="B97" s="6" t="s">
        <v>127</v>
      </c>
      <c r="C97" s="6" t="s">
        <v>128</v>
      </c>
      <c r="D97" s="6" t="s">
        <v>129</v>
      </c>
      <c r="E97" s="6">
        <v>3</v>
      </c>
      <c r="F97" s="6" t="s">
        <v>266</v>
      </c>
      <c r="G97" s="28" t="s">
        <v>146</v>
      </c>
      <c r="H97" s="6" t="s">
        <v>281</v>
      </c>
      <c r="I97" s="6"/>
      <c r="J97" s="6"/>
      <c r="K97" s="6">
        <v>0</v>
      </c>
      <c r="L97" s="13" t="s">
        <v>204</v>
      </c>
    </row>
    <row r="98" spans="1:12" x14ac:dyDescent="0.45">
      <c r="A98" s="6" t="s">
        <v>126</v>
      </c>
      <c r="B98" s="6" t="s">
        <v>127</v>
      </c>
      <c r="C98" s="6" t="s">
        <v>128</v>
      </c>
      <c r="D98" s="6" t="s">
        <v>129</v>
      </c>
      <c r="E98" s="6">
        <v>3</v>
      </c>
      <c r="F98" s="6" t="s">
        <v>266</v>
      </c>
      <c r="G98" s="28" t="s">
        <v>282</v>
      </c>
      <c r="H98" s="6" t="s">
        <v>283</v>
      </c>
      <c r="I98" s="6"/>
      <c r="J98" s="6"/>
      <c r="K98" s="6">
        <v>0</v>
      </c>
      <c r="L98" s="13" t="s">
        <v>204</v>
      </c>
    </row>
    <row r="99" spans="1:12" x14ac:dyDescent="0.45">
      <c r="A99" s="6" t="s">
        <v>126</v>
      </c>
      <c r="B99" s="6" t="s">
        <v>127</v>
      </c>
      <c r="C99" s="6" t="s">
        <v>128</v>
      </c>
      <c r="D99" s="6" t="s">
        <v>129</v>
      </c>
      <c r="E99" s="6">
        <v>3</v>
      </c>
      <c r="F99" s="6" t="s">
        <v>266</v>
      </c>
      <c r="G99" s="28" t="s">
        <v>148</v>
      </c>
      <c r="H99" s="6" t="s">
        <v>284</v>
      </c>
      <c r="I99" s="6"/>
      <c r="J99" s="6"/>
      <c r="K99" s="6">
        <v>0</v>
      </c>
      <c r="L99" s="13" t="s">
        <v>204</v>
      </c>
    </row>
    <row r="100" spans="1:12" x14ac:dyDescent="0.45">
      <c r="A100" s="6" t="s">
        <v>126</v>
      </c>
      <c r="B100" s="6" t="s">
        <v>127</v>
      </c>
      <c r="C100" s="6" t="s">
        <v>128</v>
      </c>
      <c r="D100" s="6" t="s">
        <v>129</v>
      </c>
      <c r="E100" s="6">
        <v>3</v>
      </c>
      <c r="F100" s="6" t="s">
        <v>266</v>
      </c>
      <c r="G100" s="28" t="s">
        <v>285</v>
      </c>
      <c r="H100" s="6" t="s">
        <v>286</v>
      </c>
      <c r="I100" s="6"/>
      <c r="J100" s="6"/>
      <c r="K100" s="6">
        <v>1.5</v>
      </c>
      <c r="L100" s="13" t="s">
        <v>204</v>
      </c>
    </row>
    <row r="101" spans="1:12" x14ac:dyDescent="0.45">
      <c r="A101" s="6" t="s">
        <v>126</v>
      </c>
      <c r="B101" s="6" t="s">
        <v>127</v>
      </c>
      <c r="C101" s="6" t="s">
        <v>128</v>
      </c>
      <c r="D101" s="6" t="s">
        <v>129</v>
      </c>
      <c r="E101" s="6">
        <v>3</v>
      </c>
      <c r="F101" s="6" t="s">
        <v>266</v>
      </c>
      <c r="G101" s="28" t="s">
        <v>150</v>
      </c>
      <c r="H101" s="6" t="s">
        <v>287</v>
      </c>
      <c r="I101" s="6"/>
      <c r="J101" s="6"/>
      <c r="K101" s="6">
        <v>0.1</v>
      </c>
      <c r="L101" s="13" t="s">
        <v>204</v>
      </c>
    </row>
    <row r="102" spans="1:12" x14ac:dyDescent="0.45">
      <c r="A102" s="6" t="s">
        <v>126</v>
      </c>
      <c r="B102" s="6" t="s">
        <v>127</v>
      </c>
      <c r="C102" s="6" t="s">
        <v>128</v>
      </c>
      <c r="D102" s="6" t="s">
        <v>129</v>
      </c>
      <c r="E102" s="6">
        <v>3</v>
      </c>
      <c r="F102" s="6" t="s">
        <v>266</v>
      </c>
      <c r="G102" s="28" t="s">
        <v>288</v>
      </c>
      <c r="H102" s="6" t="s">
        <v>289</v>
      </c>
      <c r="I102" s="6"/>
      <c r="J102" s="6"/>
      <c r="K102" s="6">
        <v>100000</v>
      </c>
      <c r="L102" s="13" t="s">
        <v>204</v>
      </c>
    </row>
    <row r="103" spans="1:12" x14ac:dyDescent="0.45">
      <c r="A103" s="6" t="s">
        <v>126</v>
      </c>
      <c r="B103" s="6" t="s">
        <v>127</v>
      </c>
      <c r="C103" s="6" t="s">
        <v>128</v>
      </c>
      <c r="D103" s="6" t="s">
        <v>129</v>
      </c>
      <c r="E103" s="6">
        <v>3</v>
      </c>
      <c r="F103" s="6" t="s">
        <v>266</v>
      </c>
      <c r="G103" s="28" t="s">
        <v>152</v>
      </c>
      <c r="H103" s="6" t="s">
        <v>290</v>
      </c>
      <c r="I103" s="6"/>
      <c r="J103" s="6"/>
      <c r="K103" s="6">
        <v>300000</v>
      </c>
      <c r="L103" s="13" t="s">
        <v>204</v>
      </c>
    </row>
    <row r="104" spans="1:12" x14ac:dyDescent="0.45">
      <c r="A104" s="6" t="s">
        <v>126</v>
      </c>
      <c r="B104" s="6" t="s">
        <v>127</v>
      </c>
      <c r="C104" s="6" t="s">
        <v>128</v>
      </c>
      <c r="D104" s="6" t="s">
        <v>129</v>
      </c>
      <c r="E104" s="6">
        <v>3</v>
      </c>
      <c r="F104" s="6" t="s">
        <v>266</v>
      </c>
      <c r="G104" s="28" t="s">
        <v>291</v>
      </c>
      <c r="H104" s="6" t="s">
        <v>292</v>
      </c>
      <c r="I104" s="6"/>
      <c r="J104" s="6"/>
      <c r="K104" s="6">
        <v>2</v>
      </c>
      <c r="L104" s="13" t="s">
        <v>204</v>
      </c>
    </row>
    <row r="105" spans="1:12" x14ac:dyDescent="0.45">
      <c r="A105" s="6" t="s">
        <v>126</v>
      </c>
      <c r="B105" s="6" t="s">
        <v>127</v>
      </c>
      <c r="C105" s="6" t="s">
        <v>128</v>
      </c>
      <c r="D105" s="6" t="s">
        <v>129</v>
      </c>
      <c r="E105" s="6">
        <v>3</v>
      </c>
      <c r="F105" s="6" t="s">
        <v>266</v>
      </c>
      <c r="G105" s="28" t="s">
        <v>154</v>
      </c>
      <c r="H105" s="6" t="s">
        <v>293</v>
      </c>
      <c r="I105" s="6"/>
      <c r="J105" s="6"/>
      <c r="K105" s="6">
        <v>0.15</v>
      </c>
      <c r="L105" s="13" t="s">
        <v>204</v>
      </c>
    </row>
    <row r="106" spans="1:12" x14ac:dyDescent="0.45">
      <c r="A106" s="6" t="s">
        <v>126</v>
      </c>
      <c r="B106" s="6" t="s">
        <v>127</v>
      </c>
      <c r="C106" s="6" t="s">
        <v>128</v>
      </c>
      <c r="D106" s="6" t="s">
        <v>129</v>
      </c>
      <c r="E106" s="6">
        <v>3</v>
      </c>
      <c r="F106" s="6" t="s">
        <v>266</v>
      </c>
      <c r="G106" s="28" t="s">
        <v>294</v>
      </c>
      <c r="H106" s="6" t="s">
        <v>295</v>
      </c>
      <c r="I106" s="6"/>
      <c r="J106" s="6"/>
      <c r="K106" s="6">
        <v>200000</v>
      </c>
      <c r="L106" s="13" t="s">
        <v>204</v>
      </c>
    </row>
    <row r="107" spans="1:12" x14ac:dyDescent="0.45">
      <c r="A107" s="6" t="s">
        <v>126</v>
      </c>
      <c r="B107" s="6" t="s">
        <v>127</v>
      </c>
      <c r="C107" s="6" t="s">
        <v>128</v>
      </c>
      <c r="D107" s="6" t="s">
        <v>129</v>
      </c>
      <c r="E107" s="6">
        <v>3</v>
      </c>
      <c r="F107" s="6" t="s">
        <v>266</v>
      </c>
      <c r="G107" s="28" t="s">
        <v>156</v>
      </c>
      <c r="H107" s="6" t="s">
        <v>296</v>
      </c>
      <c r="I107" s="6"/>
      <c r="J107" s="6"/>
      <c r="K107" s="6">
        <v>650000</v>
      </c>
      <c r="L107" s="13" t="s">
        <v>204</v>
      </c>
    </row>
    <row r="108" spans="1:12" x14ac:dyDescent="0.45">
      <c r="A108" s="6" t="s">
        <v>126</v>
      </c>
      <c r="B108" s="6" t="s">
        <v>127</v>
      </c>
      <c r="C108" s="6" t="s">
        <v>128</v>
      </c>
      <c r="D108" s="6" t="s">
        <v>129</v>
      </c>
      <c r="E108" s="6">
        <v>3</v>
      </c>
      <c r="F108" s="6" t="s">
        <v>266</v>
      </c>
      <c r="G108" s="28" t="s">
        <v>297</v>
      </c>
      <c r="H108" s="6" t="s">
        <v>298</v>
      </c>
      <c r="I108" s="6"/>
      <c r="J108" s="6"/>
      <c r="K108" s="6">
        <v>2.5</v>
      </c>
      <c r="L108" s="13" t="s">
        <v>204</v>
      </c>
    </row>
    <row r="109" spans="1:12" x14ac:dyDescent="0.45">
      <c r="A109" s="6" t="s">
        <v>126</v>
      </c>
      <c r="B109" s="6" t="s">
        <v>127</v>
      </c>
      <c r="C109" s="6" t="s">
        <v>128</v>
      </c>
      <c r="D109" s="6" t="s">
        <v>129</v>
      </c>
      <c r="E109" s="6">
        <v>3</v>
      </c>
      <c r="F109" s="6" t="s">
        <v>266</v>
      </c>
      <c r="G109" s="28" t="s">
        <v>158</v>
      </c>
      <c r="H109" s="6" t="s">
        <v>299</v>
      </c>
      <c r="I109" s="6"/>
      <c r="J109" s="6"/>
      <c r="K109" s="6">
        <v>0.2</v>
      </c>
      <c r="L109" s="13" t="s">
        <v>204</v>
      </c>
    </row>
    <row r="110" spans="1:12" x14ac:dyDescent="0.45">
      <c r="A110" s="6" t="s">
        <v>126</v>
      </c>
      <c r="B110" s="6" t="s">
        <v>127</v>
      </c>
      <c r="C110" s="6" t="s">
        <v>128</v>
      </c>
      <c r="D110" s="6" t="s">
        <v>129</v>
      </c>
      <c r="E110" s="6">
        <v>3</v>
      </c>
      <c r="F110" s="6" t="s">
        <v>266</v>
      </c>
      <c r="G110" s="28" t="s">
        <v>300</v>
      </c>
      <c r="H110" s="6" t="s">
        <v>301</v>
      </c>
      <c r="I110" s="6"/>
      <c r="J110" s="6"/>
      <c r="K110" s="6">
        <v>300000</v>
      </c>
      <c r="L110" s="13" t="s">
        <v>204</v>
      </c>
    </row>
    <row r="111" spans="1:12" x14ac:dyDescent="0.45">
      <c r="A111" s="6" t="s">
        <v>126</v>
      </c>
      <c r="B111" s="6" t="s">
        <v>127</v>
      </c>
      <c r="C111" s="6" t="s">
        <v>128</v>
      </c>
      <c r="D111" s="6" t="s">
        <v>129</v>
      </c>
      <c r="E111" s="6">
        <v>3</v>
      </c>
      <c r="F111" s="6" t="s">
        <v>266</v>
      </c>
      <c r="G111" s="28" t="s">
        <v>160</v>
      </c>
      <c r="H111" s="6" t="s">
        <v>302</v>
      </c>
      <c r="I111" s="6"/>
      <c r="J111" s="6"/>
      <c r="K111" s="6">
        <v>1100000</v>
      </c>
      <c r="L111" s="13" t="s">
        <v>204</v>
      </c>
    </row>
    <row r="112" spans="1:12" x14ac:dyDescent="0.45">
      <c r="A112" s="6" t="s">
        <v>126</v>
      </c>
      <c r="B112" s="6" t="s">
        <v>127</v>
      </c>
      <c r="C112" s="6" t="s">
        <v>128</v>
      </c>
      <c r="D112" s="6" t="s">
        <v>129</v>
      </c>
      <c r="E112" s="6">
        <v>3</v>
      </c>
      <c r="F112" s="6" t="s">
        <v>266</v>
      </c>
      <c r="G112" s="28" t="s">
        <v>303</v>
      </c>
      <c r="H112" s="6" t="s">
        <v>304</v>
      </c>
      <c r="I112" s="6"/>
      <c r="J112" s="6"/>
      <c r="K112" s="6">
        <v>3</v>
      </c>
      <c r="L112" s="13" t="s">
        <v>204</v>
      </c>
    </row>
    <row r="113" spans="1:12" x14ac:dyDescent="0.45">
      <c r="A113" s="6" t="s">
        <v>126</v>
      </c>
      <c r="B113" s="6" t="s">
        <v>127</v>
      </c>
      <c r="C113" s="6" t="s">
        <v>128</v>
      </c>
      <c r="D113" s="6" t="s">
        <v>129</v>
      </c>
      <c r="E113" s="6">
        <v>3</v>
      </c>
      <c r="F113" s="6" t="s">
        <v>266</v>
      </c>
      <c r="G113" s="28" t="s">
        <v>162</v>
      </c>
      <c r="H113" s="6" t="s">
        <v>305</v>
      </c>
      <c r="I113" s="6"/>
      <c r="J113" s="6"/>
      <c r="K113" s="6">
        <v>0.25</v>
      </c>
      <c r="L113" s="13" t="s">
        <v>204</v>
      </c>
    </row>
    <row r="114" spans="1:12" x14ac:dyDescent="0.45">
      <c r="A114" s="6" t="s">
        <v>126</v>
      </c>
      <c r="B114" s="6" t="s">
        <v>127</v>
      </c>
      <c r="C114" s="6" t="s">
        <v>128</v>
      </c>
      <c r="D114" s="6" t="s">
        <v>129</v>
      </c>
      <c r="E114" s="6">
        <v>3</v>
      </c>
      <c r="F114" s="6" t="s">
        <v>266</v>
      </c>
      <c r="G114" s="28" t="s">
        <v>306</v>
      </c>
      <c r="H114" s="6" t="s">
        <v>307</v>
      </c>
      <c r="I114" s="6"/>
      <c r="J114" s="6"/>
      <c r="K114" s="6">
        <v>400000</v>
      </c>
      <c r="L114" s="13" t="s">
        <v>204</v>
      </c>
    </row>
    <row r="115" spans="1:12" x14ac:dyDescent="0.45">
      <c r="A115" s="6" t="s">
        <v>126</v>
      </c>
      <c r="B115" s="6" t="s">
        <v>127</v>
      </c>
      <c r="C115" s="6" t="s">
        <v>128</v>
      </c>
      <c r="D115" s="6" t="s">
        <v>129</v>
      </c>
      <c r="E115" s="6">
        <v>3</v>
      </c>
      <c r="F115" s="6" t="s">
        <v>266</v>
      </c>
      <c r="G115" s="28" t="s">
        <v>164</v>
      </c>
      <c r="H115" s="6" t="s">
        <v>308</v>
      </c>
      <c r="I115" s="6"/>
      <c r="J115" s="6"/>
      <c r="K115" s="6">
        <v>1650000</v>
      </c>
      <c r="L115" s="13" t="s">
        <v>204</v>
      </c>
    </row>
    <row r="116" spans="1:12" x14ac:dyDescent="0.45">
      <c r="A116" s="6" t="s">
        <v>126</v>
      </c>
      <c r="B116" s="6" t="s">
        <v>127</v>
      </c>
      <c r="C116" s="6" t="s">
        <v>128</v>
      </c>
      <c r="D116" s="6" t="s">
        <v>129</v>
      </c>
      <c r="E116" s="6">
        <v>3</v>
      </c>
      <c r="F116" s="6" t="s">
        <v>266</v>
      </c>
      <c r="G116" s="28" t="s">
        <v>309</v>
      </c>
      <c r="H116" s="6" t="s">
        <v>310</v>
      </c>
      <c r="I116" s="6"/>
      <c r="J116" s="6"/>
      <c r="K116" s="6">
        <v>3.5</v>
      </c>
      <c r="L116" s="13" t="s">
        <v>204</v>
      </c>
    </row>
    <row r="117" spans="1:12" x14ac:dyDescent="0.45">
      <c r="A117" s="6" t="s">
        <v>126</v>
      </c>
      <c r="B117" s="6" t="s">
        <v>127</v>
      </c>
      <c r="C117" s="6" t="s">
        <v>128</v>
      </c>
      <c r="D117" s="6" t="s">
        <v>129</v>
      </c>
      <c r="E117" s="6">
        <v>3</v>
      </c>
      <c r="F117" s="6" t="s">
        <v>266</v>
      </c>
      <c r="G117" s="28" t="s">
        <v>166</v>
      </c>
      <c r="H117" s="6" t="s">
        <v>311</v>
      </c>
      <c r="I117" s="6"/>
      <c r="J117" s="6"/>
      <c r="K117" s="6">
        <v>0.3</v>
      </c>
      <c r="L117" s="13" t="s">
        <v>204</v>
      </c>
    </row>
    <row r="118" spans="1:12" x14ac:dyDescent="0.45">
      <c r="A118" s="6" t="s">
        <v>126</v>
      </c>
      <c r="B118" s="6" t="s">
        <v>127</v>
      </c>
      <c r="C118" s="6" t="s">
        <v>128</v>
      </c>
      <c r="D118" s="6" t="s">
        <v>129</v>
      </c>
      <c r="E118" s="6">
        <v>3</v>
      </c>
      <c r="F118" s="6" t="s">
        <v>266</v>
      </c>
      <c r="G118" s="28" t="s">
        <v>312</v>
      </c>
      <c r="H118" s="6" t="s">
        <v>313</v>
      </c>
      <c r="I118" s="6"/>
      <c r="J118" s="6"/>
      <c r="K118" s="6">
        <v>500000</v>
      </c>
      <c r="L118" s="13" t="s">
        <v>204</v>
      </c>
    </row>
    <row r="119" spans="1:12" x14ac:dyDescent="0.45">
      <c r="A119" s="6" t="s">
        <v>126</v>
      </c>
      <c r="B119" s="6" t="s">
        <v>127</v>
      </c>
      <c r="C119" s="6" t="s">
        <v>128</v>
      </c>
      <c r="D119" s="6" t="s">
        <v>129</v>
      </c>
      <c r="E119" s="6">
        <v>3</v>
      </c>
      <c r="F119" s="6" t="s">
        <v>266</v>
      </c>
      <c r="G119" s="28" t="s">
        <v>168</v>
      </c>
      <c r="H119" s="6" t="s">
        <v>314</v>
      </c>
      <c r="I119" s="6"/>
      <c r="J119" s="6"/>
      <c r="K119" s="6">
        <v>2030000</v>
      </c>
      <c r="L119" s="13" t="s">
        <v>204</v>
      </c>
    </row>
    <row r="120" spans="1:12" x14ac:dyDescent="0.45">
      <c r="A120" s="6" t="s">
        <v>126</v>
      </c>
      <c r="B120" s="6" t="s">
        <v>127</v>
      </c>
      <c r="C120" s="6" t="s">
        <v>128</v>
      </c>
      <c r="D120" s="6" t="s">
        <v>129</v>
      </c>
      <c r="E120" s="6">
        <v>3</v>
      </c>
      <c r="F120" s="6" t="s">
        <v>266</v>
      </c>
      <c r="G120" s="28" t="s">
        <v>315</v>
      </c>
      <c r="H120" s="6" t="s">
        <v>316</v>
      </c>
      <c r="I120" s="6"/>
      <c r="J120" s="6"/>
      <c r="K120" s="6">
        <v>4</v>
      </c>
      <c r="L120" s="13" t="s">
        <v>204</v>
      </c>
    </row>
    <row r="121" spans="1:12" x14ac:dyDescent="0.45">
      <c r="A121" s="6" t="s">
        <v>126</v>
      </c>
      <c r="B121" s="6" t="s">
        <v>127</v>
      </c>
      <c r="C121" s="6" t="s">
        <v>128</v>
      </c>
      <c r="D121" s="6" t="s">
        <v>129</v>
      </c>
      <c r="E121" s="6">
        <v>3</v>
      </c>
      <c r="F121" s="6" t="s">
        <v>266</v>
      </c>
      <c r="G121" s="28" t="s">
        <v>170</v>
      </c>
      <c r="H121" s="6" t="s">
        <v>317</v>
      </c>
      <c r="I121" s="6"/>
      <c r="J121" s="6"/>
      <c r="K121" s="6">
        <v>0.35</v>
      </c>
      <c r="L121" s="13" t="s">
        <v>204</v>
      </c>
    </row>
    <row r="122" spans="1:12" x14ac:dyDescent="0.45">
      <c r="A122" s="6" t="s">
        <v>126</v>
      </c>
      <c r="B122" s="6" t="s">
        <v>127</v>
      </c>
      <c r="C122" s="6" t="s">
        <v>128</v>
      </c>
      <c r="D122" s="6" t="s">
        <v>129</v>
      </c>
      <c r="E122" s="6">
        <v>3</v>
      </c>
      <c r="F122" s="6" t="s">
        <v>266</v>
      </c>
      <c r="G122" s="28" t="s">
        <v>318</v>
      </c>
      <c r="H122" s="6" t="s">
        <v>319</v>
      </c>
      <c r="I122" s="6"/>
      <c r="J122" s="6"/>
      <c r="K122" s="6">
        <v>600000</v>
      </c>
      <c r="L122" s="13" t="s">
        <v>204</v>
      </c>
    </row>
    <row r="123" spans="1:12" x14ac:dyDescent="0.45">
      <c r="A123" s="6" t="s">
        <v>126</v>
      </c>
      <c r="B123" s="6" t="s">
        <v>127</v>
      </c>
      <c r="C123" s="6" t="s">
        <v>128</v>
      </c>
      <c r="D123" s="6" t="s">
        <v>129</v>
      </c>
      <c r="E123" s="6">
        <v>3</v>
      </c>
      <c r="F123" s="6" t="s">
        <v>266</v>
      </c>
      <c r="G123" s="28" t="s">
        <v>172</v>
      </c>
      <c r="H123" s="6" t="s">
        <v>320</v>
      </c>
      <c r="I123" s="6"/>
      <c r="J123" s="6"/>
      <c r="K123" s="6">
        <v>2490000</v>
      </c>
      <c r="L123" s="13" t="s">
        <v>204</v>
      </c>
    </row>
    <row r="124" spans="1:12" x14ac:dyDescent="0.45">
      <c r="A124" s="6" t="s">
        <v>126</v>
      </c>
      <c r="B124" s="6" t="s">
        <v>127</v>
      </c>
      <c r="C124" s="6" t="s">
        <v>128</v>
      </c>
      <c r="D124" s="6" t="s">
        <v>129</v>
      </c>
      <c r="E124" s="6">
        <v>3</v>
      </c>
      <c r="F124" s="6" t="s">
        <v>266</v>
      </c>
      <c r="G124" s="28" t="s">
        <v>321</v>
      </c>
      <c r="H124" s="6" t="s">
        <v>322</v>
      </c>
      <c r="I124" s="6"/>
      <c r="J124" s="6"/>
      <c r="K124" s="6">
        <v>4.5</v>
      </c>
      <c r="L124" s="13" t="s">
        <v>204</v>
      </c>
    </row>
    <row r="125" spans="1:12" x14ac:dyDescent="0.45">
      <c r="A125" s="6" t="s">
        <v>126</v>
      </c>
      <c r="B125" s="6" t="s">
        <v>127</v>
      </c>
      <c r="C125" s="6" t="s">
        <v>128</v>
      </c>
      <c r="D125" s="6" t="s">
        <v>129</v>
      </c>
      <c r="E125" s="6">
        <v>3</v>
      </c>
      <c r="F125" s="6" t="s">
        <v>266</v>
      </c>
      <c r="G125" s="28" t="s">
        <v>174</v>
      </c>
      <c r="H125" s="6" t="s">
        <v>323</v>
      </c>
      <c r="I125" s="6"/>
      <c r="J125" s="6"/>
      <c r="K125" s="6">
        <v>0.4</v>
      </c>
      <c r="L125" s="13" t="s">
        <v>204</v>
      </c>
    </row>
    <row r="126" spans="1:12" x14ac:dyDescent="0.45">
      <c r="A126" s="6" t="s">
        <v>126</v>
      </c>
      <c r="B126" s="6" t="s">
        <v>127</v>
      </c>
      <c r="C126" s="6" t="s">
        <v>128</v>
      </c>
      <c r="D126" s="6" t="s">
        <v>129</v>
      </c>
      <c r="E126" s="6">
        <v>3</v>
      </c>
      <c r="F126" s="6" t="s">
        <v>266</v>
      </c>
      <c r="G126" s="28" t="s">
        <v>324</v>
      </c>
      <c r="H126" s="6" t="s">
        <v>325</v>
      </c>
      <c r="I126" s="6"/>
      <c r="J126" s="6"/>
      <c r="K126" s="6">
        <v>700000</v>
      </c>
      <c r="L126" s="13" t="s">
        <v>204</v>
      </c>
    </row>
    <row r="127" spans="1:12" x14ac:dyDescent="0.45">
      <c r="A127" s="6" t="s">
        <v>126</v>
      </c>
      <c r="B127" s="6" t="s">
        <v>127</v>
      </c>
      <c r="C127" s="6" t="s">
        <v>128</v>
      </c>
      <c r="D127" s="6" t="s">
        <v>129</v>
      </c>
      <c r="E127" s="6">
        <v>3</v>
      </c>
      <c r="F127" s="6" t="s">
        <v>266</v>
      </c>
      <c r="G127" s="28" t="s">
        <v>326</v>
      </c>
      <c r="H127" s="6" t="s">
        <v>327</v>
      </c>
      <c r="I127" s="6"/>
      <c r="J127" s="6"/>
      <c r="K127" s="6">
        <v>2755000</v>
      </c>
      <c r="L127" s="13" t="s">
        <v>204</v>
      </c>
    </row>
    <row r="128" spans="1:12" x14ac:dyDescent="0.45">
      <c r="A128" s="6" t="s">
        <v>126</v>
      </c>
      <c r="B128" s="6" t="s">
        <v>127</v>
      </c>
      <c r="C128" s="6" t="s">
        <v>128</v>
      </c>
      <c r="D128" s="6" t="s">
        <v>129</v>
      </c>
      <c r="E128" s="6">
        <v>3</v>
      </c>
      <c r="F128" s="6" t="s">
        <v>266</v>
      </c>
      <c r="G128" s="28" t="s">
        <v>328</v>
      </c>
      <c r="H128" s="6" t="s">
        <v>329</v>
      </c>
      <c r="I128" s="6"/>
      <c r="J128" s="6"/>
      <c r="K128" s="6">
        <v>5</v>
      </c>
      <c r="L128" s="13" t="s">
        <v>204</v>
      </c>
    </row>
    <row r="129" spans="1:12" x14ac:dyDescent="0.45">
      <c r="A129" s="6" t="s">
        <v>126</v>
      </c>
      <c r="B129" s="6" t="s">
        <v>127</v>
      </c>
      <c r="C129" s="6" t="s">
        <v>128</v>
      </c>
      <c r="D129" s="6" t="s">
        <v>129</v>
      </c>
      <c r="E129" s="6">
        <v>3</v>
      </c>
      <c r="F129" s="6" t="s">
        <v>266</v>
      </c>
      <c r="G129" s="28" t="s">
        <v>330</v>
      </c>
      <c r="H129" s="6" t="s">
        <v>331</v>
      </c>
      <c r="I129" s="6"/>
      <c r="J129" s="6"/>
      <c r="K129" s="6">
        <v>0.45</v>
      </c>
      <c r="L129" s="13" t="s">
        <v>204</v>
      </c>
    </row>
    <row r="130" spans="1:12" x14ac:dyDescent="0.45">
      <c r="A130" s="6" t="s">
        <v>126</v>
      </c>
      <c r="B130" s="6" t="s">
        <v>127</v>
      </c>
      <c r="C130" s="6" t="s">
        <v>128</v>
      </c>
      <c r="D130" s="6" t="s">
        <v>129</v>
      </c>
      <c r="E130" s="6">
        <v>3</v>
      </c>
      <c r="F130" s="6" t="s">
        <v>266</v>
      </c>
      <c r="G130" s="28" t="s">
        <v>332</v>
      </c>
      <c r="H130" s="6" t="s">
        <v>333</v>
      </c>
      <c r="I130" s="6"/>
      <c r="J130" s="6"/>
      <c r="K130" s="6">
        <v>800000</v>
      </c>
      <c r="L130" s="13" t="s">
        <v>204</v>
      </c>
    </row>
    <row r="131" spans="1:12" x14ac:dyDescent="0.45">
      <c r="A131" s="6" t="s">
        <v>126</v>
      </c>
      <c r="B131" s="6" t="s">
        <v>127</v>
      </c>
      <c r="C131" s="6" t="s">
        <v>128</v>
      </c>
      <c r="D131" s="6" t="s">
        <v>129</v>
      </c>
      <c r="E131" s="6">
        <v>3</v>
      </c>
      <c r="F131" s="6" t="s">
        <v>266</v>
      </c>
      <c r="G131" s="28" t="s">
        <v>334</v>
      </c>
      <c r="H131" s="6" t="s">
        <v>335</v>
      </c>
      <c r="I131" s="6"/>
      <c r="J131" s="6"/>
      <c r="K131" s="6">
        <v>3180000</v>
      </c>
      <c r="L131" s="13" t="s">
        <v>204</v>
      </c>
    </row>
    <row r="132" spans="1:12" x14ac:dyDescent="0.45">
      <c r="A132" s="6" t="s">
        <v>126</v>
      </c>
      <c r="B132" s="6" t="s">
        <v>127</v>
      </c>
      <c r="C132" s="6" t="s">
        <v>128</v>
      </c>
      <c r="D132" s="6" t="s">
        <v>129</v>
      </c>
      <c r="E132" s="6">
        <v>3</v>
      </c>
      <c r="F132" s="6" t="s">
        <v>266</v>
      </c>
      <c r="G132" s="28" t="s">
        <v>336</v>
      </c>
      <c r="H132" s="6" t="s">
        <v>337</v>
      </c>
      <c r="I132" s="6"/>
      <c r="J132" s="6"/>
      <c r="K132" s="6"/>
      <c r="L132" s="13" t="s">
        <v>204</v>
      </c>
    </row>
    <row r="133" spans="1:12" x14ac:dyDescent="0.45">
      <c r="A133" s="6" t="s">
        <v>126</v>
      </c>
      <c r="B133" s="6" t="s">
        <v>127</v>
      </c>
      <c r="C133" s="6" t="s">
        <v>128</v>
      </c>
      <c r="D133" s="6" t="s">
        <v>129</v>
      </c>
      <c r="E133" s="6">
        <v>3</v>
      </c>
      <c r="F133" s="6" t="s">
        <v>266</v>
      </c>
      <c r="G133" s="28" t="s">
        <v>338</v>
      </c>
      <c r="H133" s="6" t="s">
        <v>339</v>
      </c>
      <c r="I133" s="6"/>
      <c r="J133" s="6"/>
      <c r="K133" s="6"/>
      <c r="L133" s="13" t="s">
        <v>204</v>
      </c>
    </row>
    <row r="134" spans="1:12" x14ac:dyDescent="0.45">
      <c r="A134" s="6" t="s">
        <v>126</v>
      </c>
      <c r="B134" s="6" t="s">
        <v>127</v>
      </c>
      <c r="C134" s="6" t="s">
        <v>128</v>
      </c>
      <c r="D134" s="6" t="s">
        <v>129</v>
      </c>
      <c r="E134" s="6">
        <v>3</v>
      </c>
      <c r="F134" s="6" t="s">
        <v>266</v>
      </c>
      <c r="G134" s="28" t="s">
        <v>340</v>
      </c>
      <c r="H134" s="6" t="s">
        <v>341</v>
      </c>
      <c r="I134" s="6"/>
      <c r="J134" s="6"/>
      <c r="K134" s="6"/>
      <c r="L134" s="13" t="s">
        <v>204</v>
      </c>
    </row>
    <row r="135" spans="1:12" x14ac:dyDescent="0.45">
      <c r="A135" s="6" t="s">
        <v>126</v>
      </c>
      <c r="B135" s="6" t="s">
        <v>127</v>
      </c>
      <c r="C135" s="6" t="s">
        <v>128</v>
      </c>
      <c r="D135" s="6" t="s">
        <v>129</v>
      </c>
      <c r="E135" s="6">
        <v>3</v>
      </c>
      <c r="F135" s="6" t="s">
        <v>266</v>
      </c>
      <c r="G135" s="28" t="s">
        <v>342</v>
      </c>
      <c r="H135" s="6" t="s">
        <v>343</v>
      </c>
      <c r="I135" s="6"/>
      <c r="J135" s="6"/>
      <c r="K135" s="6"/>
      <c r="L135" s="13" t="s">
        <v>204</v>
      </c>
    </row>
    <row r="136" spans="1:12" x14ac:dyDescent="0.45">
      <c r="A136" s="6" t="s">
        <v>126</v>
      </c>
      <c r="B136" s="6" t="s">
        <v>127</v>
      </c>
      <c r="C136" s="6" t="s">
        <v>128</v>
      </c>
      <c r="D136" s="6" t="s">
        <v>129</v>
      </c>
      <c r="E136" s="6">
        <v>4</v>
      </c>
      <c r="F136" s="6" t="s">
        <v>344</v>
      </c>
      <c r="G136" s="13" t="s">
        <v>345</v>
      </c>
      <c r="H136" s="6" t="s">
        <v>346</v>
      </c>
      <c r="I136" s="6"/>
      <c r="J136" s="6"/>
      <c r="K136" s="72" t="s">
        <v>347</v>
      </c>
      <c r="L136" s="13" t="s">
        <v>204</v>
      </c>
    </row>
    <row r="137" spans="1:12" x14ac:dyDescent="0.45">
      <c r="A137" s="6" t="s">
        <v>126</v>
      </c>
      <c r="B137" s="6" t="s">
        <v>127</v>
      </c>
      <c r="C137" s="6" t="s">
        <v>128</v>
      </c>
      <c r="D137" s="6" t="s">
        <v>129</v>
      </c>
      <c r="E137" s="6">
        <v>4</v>
      </c>
      <c r="F137" s="6" t="s">
        <v>344</v>
      </c>
      <c r="G137" s="13" t="s">
        <v>348</v>
      </c>
      <c r="H137" s="6" t="s">
        <v>349</v>
      </c>
      <c r="I137" s="6"/>
      <c r="J137" s="6"/>
      <c r="K137" s="6">
        <v>0.05</v>
      </c>
      <c r="L137" s="13" t="s">
        <v>350</v>
      </c>
    </row>
    <row r="138" spans="1:12" x14ac:dyDescent="0.45">
      <c r="A138" s="6" t="s">
        <v>126</v>
      </c>
      <c r="B138" s="6" t="s">
        <v>127</v>
      </c>
      <c r="C138" s="6" t="s">
        <v>128</v>
      </c>
      <c r="D138" s="6" t="s">
        <v>129</v>
      </c>
      <c r="E138" s="6">
        <v>4</v>
      </c>
      <c r="F138" s="6" t="s">
        <v>344</v>
      </c>
      <c r="G138" s="13" t="s">
        <v>351</v>
      </c>
      <c r="H138" s="6" t="s">
        <v>352</v>
      </c>
      <c r="I138" s="6"/>
      <c r="J138" s="6"/>
      <c r="K138" s="6"/>
      <c r="L138" s="13" t="s">
        <v>204</v>
      </c>
    </row>
    <row r="139" spans="1:12" x14ac:dyDescent="0.45">
      <c r="A139" s="6" t="s">
        <v>126</v>
      </c>
      <c r="B139" s="6" t="s">
        <v>127</v>
      </c>
      <c r="C139" s="6" t="s">
        <v>128</v>
      </c>
      <c r="D139" s="6" t="s">
        <v>129</v>
      </c>
      <c r="E139" s="6">
        <v>4</v>
      </c>
      <c r="F139" s="6" t="s">
        <v>344</v>
      </c>
      <c r="G139" s="13" t="s">
        <v>353</v>
      </c>
      <c r="H139" s="6" t="s">
        <v>354</v>
      </c>
      <c r="I139" s="6"/>
      <c r="J139" s="6"/>
      <c r="K139" s="6"/>
      <c r="L139" s="13" t="s">
        <v>204</v>
      </c>
    </row>
    <row r="140" spans="1:12" x14ac:dyDescent="0.45">
      <c r="A140" s="6" t="s">
        <v>126</v>
      </c>
      <c r="B140" s="6" t="s">
        <v>127</v>
      </c>
      <c r="C140" s="6" t="s">
        <v>128</v>
      </c>
      <c r="D140" s="6" t="s">
        <v>129</v>
      </c>
      <c r="E140" s="6">
        <v>4</v>
      </c>
      <c r="F140" s="6" t="s">
        <v>344</v>
      </c>
      <c r="G140" s="13" t="s">
        <v>355</v>
      </c>
      <c r="H140" s="6" t="s">
        <v>356</v>
      </c>
      <c r="I140" s="6"/>
      <c r="J140" s="6"/>
      <c r="K140" s="6"/>
      <c r="L140" s="13" t="s">
        <v>204</v>
      </c>
    </row>
    <row r="141" spans="1:12" x14ac:dyDescent="0.45">
      <c r="A141" s="6" t="s">
        <v>126</v>
      </c>
      <c r="B141" s="6" t="s">
        <v>127</v>
      </c>
      <c r="C141" s="6" t="s">
        <v>128</v>
      </c>
      <c r="D141" s="6" t="s">
        <v>129</v>
      </c>
      <c r="E141" s="6">
        <v>4</v>
      </c>
      <c r="F141" s="6" t="s">
        <v>344</v>
      </c>
      <c r="G141" s="13" t="s">
        <v>357</v>
      </c>
      <c r="H141" s="6" t="s">
        <v>358</v>
      </c>
      <c r="I141" s="6"/>
      <c r="J141" s="6"/>
      <c r="K141" s="6"/>
      <c r="L141" s="13" t="s">
        <v>204</v>
      </c>
    </row>
    <row r="142" spans="1:12" x14ac:dyDescent="0.45">
      <c r="A142" s="6" t="s">
        <v>126</v>
      </c>
      <c r="B142" s="6" t="s">
        <v>127</v>
      </c>
      <c r="C142" s="6" t="s">
        <v>128</v>
      </c>
      <c r="D142" s="6" t="s">
        <v>129</v>
      </c>
      <c r="E142" s="6">
        <v>4</v>
      </c>
      <c r="F142" s="6" t="s">
        <v>344</v>
      </c>
      <c r="G142" s="13" t="s">
        <v>359</v>
      </c>
      <c r="H142" s="6" t="s">
        <v>360</v>
      </c>
      <c r="I142" s="6"/>
      <c r="J142" s="6"/>
      <c r="K142" s="6"/>
      <c r="L142" s="13" t="s">
        <v>204</v>
      </c>
    </row>
    <row r="143" spans="1:12" x14ac:dyDescent="0.45">
      <c r="A143" s="6" t="s">
        <v>126</v>
      </c>
      <c r="B143" s="6" t="s">
        <v>127</v>
      </c>
      <c r="C143" s="6" t="s">
        <v>128</v>
      </c>
      <c r="D143" s="6" t="s">
        <v>129</v>
      </c>
      <c r="E143" s="6">
        <v>4</v>
      </c>
      <c r="F143" s="6" t="s">
        <v>344</v>
      </c>
      <c r="G143" s="13" t="s">
        <v>361</v>
      </c>
      <c r="H143" s="6" t="s">
        <v>362</v>
      </c>
      <c r="I143" s="6"/>
      <c r="J143" s="6"/>
      <c r="K143" s="6"/>
      <c r="L143" s="13" t="s">
        <v>204</v>
      </c>
    </row>
    <row r="144" spans="1:12" x14ac:dyDescent="0.45">
      <c r="A144" s="6" t="s">
        <v>126</v>
      </c>
      <c r="B144" s="6" t="s">
        <v>127</v>
      </c>
      <c r="C144" s="6" t="s">
        <v>128</v>
      </c>
      <c r="D144" s="6" t="s">
        <v>129</v>
      </c>
      <c r="E144" s="6">
        <v>4</v>
      </c>
      <c r="F144" s="6" t="s">
        <v>344</v>
      </c>
      <c r="G144" s="13" t="s">
        <v>363</v>
      </c>
      <c r="H144" s="6" t="s">
        <v>364</v>
      </c>
      <c r="I144" s="6"/>
      <c r="J144" s="6"/>
      <c r="K144" s="6">
        <v>30000</v>
      </c>
      <c r="L144" s="13" t="s">
        <v>204</v>
      </c>
    </row>
    <row r="145" spans="1:12" x14ac:dyDescent="0.45">
      <c r="A145" s="6" t="s">
        <v>126</v>
      </c>
      <c r="B145" s="6" t="s">
        <v>127</v>
      </c>
      <c r="C145" s="6" t="s">
        <v>128</v>
      </c>
      <c r="D145" s="6" t="s">
        <v>129</v>
      </c>
      <c r="E145" s="6">
        <v>4</v>
      </c>
      <c r="F145" s="6" t="s">
        <v>344</v>
      </c>
      <c r="G145" s="13" t="s">
        <v>365</v>
      </c>
      <c r="H145" s="6" t="s">
        <v>366</v>
      </c>
      <c r="I145" s="6"/>
      <c r="J145" s="6"/>
      <c r="K145" s="6">
        <v>50000000</v>
      </c>
      <c r="L145" s="13" t="s">
        <v>204</v>
      </c>
    </row>
    <row r="146" spans="1:12" x14ac:dyDescent="0.45">
      <c r="A146" s="6" t="s">
        <v>126</v>
      </c>
      <c r="B146" s="6" t="s">
        <v>127</v>
      </c>
      <c r="C146" s="6" t="s">
        <v>128</v>
      </c>
      <c r="D146" s="6" t="s">
        <v>129</v>
      </c>
      <c r="E146" s="6">
        <v>4</v>
      </c>
      <c r="F146" s="6" t="s">
        <v>367</v>
      </c>
      <c r="G146" s="29" t="s">
        <v>368</v>
      </c>
      <c r="H146" s="6" t="s">
        <v>369</v>
      </c>
      <c r="I146" s="6"/>
      <c r="J146" s="6"/>
      <c r="K146" s="72" t="s">
        <v>370</v>
      </c>
      <c r="L146" s="13" t="s">
        <v>204</v>
      </c>
    </row>
    <row r="147" spans="1:12" x14ac:dyDescent="0.45">
      <c r="A147" s="6" t="s">
        <v>126</v>
      </c>
      <c r="B147" s="6" t="s">
        <v>127</v>
      </c>
      <c r="C147" s="6" t="s">
        <v>128</v>
      </c>
      <c r="D147" s="6" t="s">
        <v>129</v>
      </c>
      <c r="E147" s="6">
        <v>4</v>
      </c>
      <c r="F147" s="6" t="s">
        <v>367</v>
      </c>
      <c r="G147" s="29" t="s">
        <v>371</v>
      </c>
      <c r="H147" s="6" t="s">
        <v>372</v>
      </c>
      <c r="I147" s="6"/>
      <c r="J147" s="6"/>
      <c r="K147" s="6">
        <v>0.02</v>
      </c>
      <c r="L147" s="13" t="s">
        <v>373</v>
      </c>
    </row>
    <row r="148" spans="1:12" x14ac:dyDescent="0.45">
      <c r="A148" s="6" t="s">
        <v>126</v>
      </c>
      <c r="B148" s="6" t="s">
        <v>127</v>
      </c>
      <c r="C148" s="6" t="s">
        <v>128</v>
      </c>
      <c r="D148" s="6" t="s">
        <v>129</v>
      </c>
      <c r="E148" s="6">
        <v>4</v>
      </c>
      <c r="F148" s="6" t="s">
        <v>367</v>
      </c>
      <c r="G148" s="29" t="s">
        <v>374</v>
      </c>
      <c r="H148" s="6" t="s">
        <v>375</v>
      </c>
      <c r="I148" s="6"/>
      <c r="J148" s="6"/>
      <c r="K148" s="6"/>
      <c r="L148" s="13" t="s">
        <v>204</v>
      </c>
    </row>
    <row r="149" spans="1:12" x14ac:dyDescent="0.45">
      <c r="A149" s="6" t="s">
        <v>126</v>
      </c>
      <c r="B149" s="6" t="s">
        <v>127</v>
      </c>
      <c r="C149" s="6" t="s">
        <v>128</v>
      </c>
      <c r="D149" s="6" t="s">
        <v>129</v>
      </c>
      <c r="E149" s="6">
        <v>4</v>
      </c>
      <c r="F149" s="6" t="s">
        <v>367</v>
      </c>
      <c r="G149" s="29" t="s">
        <v>376</v>
      </c>
      <c r="H149" s="6" t="s">
        <v>377</v>
      </c>
      <c r="I149" s="6"/>
      <c r="J149" s="6"/>
      <c r="K149" s="6"/>
      <c r="L149" s="13" t="s">
        <v>204</v>
      </c>
    </row>
    <row r="150" spans="1:12" x14ac:dyDescent="0.45">
      <c r="A150" s="6" t="s">
        <v>126</v>
      </c>
      <c r="B150" s="6" t="s">
        <v>127</v>
      </c>
      <c r="C150" s="6" t="s">
        <v>128</v>
      </c>
      <c r="D150" s="6" t="s">
        <v>129</v>
      </c>
      <c r="E150" s="6">
        <v>4</v>
      </c>
      <c r="F150" s="6" t="s">
        <v>367</v>
      </c>
      <c r="G150" s="29" t="s">
        <v>378</v>
      </c>
      <c r="H150" s="6" t="s">
        <v>379</v>
      </c>
      <c r="I150" s="6"/>
      <c r="J150" s="6"/>
      <c r="K150" s="6"/>
      <c r="L150" s="13" t="s">
        <v>204</v>
      </c>
    </row>
    <row r="151" spans="1:12" x14ac:dyDescent="0.45">
      <c r="A151" s="6" t="s">
        <v>126</v>
      </c>
      <c r="B151" s="6" t="s">
        <v>127</v>
      </c>
      <c r="C151" s="6" t="s">
        <v>128</v>
      </c>
      <c r="D151" s="6" t="s">
        <v>129</v>
      </c>
      <c r="E151" s="6">
        <v>4</v>
      </c>
      <c r="F151" s="6" t="s">
        <v>367</v>
      </c>
      <c r="G151" s="29" t="s">
        <v>380</v>
      </c>
      <c r="H151" s="6" t="s">
        <v>381</v>
      </c>
      <c r="I151" s="6"/>
      <c r="J151" s="6"/>
      <c r="K151" s="6"/>
      <c r="L151" s="13" t="s">
        <v>204</v>
      </c>
    </row>
    <row r="152" spans="1:12" x14ac:dyDescent="0.45">
      <c r="A152" s="6" t="s">
        <v>126</v>
      </c>
      <c r="B152" s="6" t="s">
        <v>127</v>
      </c>
      <c r="C152" s="6" t="s">
        <v>128</v>
      </c>
      <c r="D152" s="6" t="s">
        <v>129</v>
      </c>
      <c r="E152" s="6">
        <v>4</v>
      </c>
      <c r="F152" s="6" t="s">
        <v>367</v>
      </c>
      <c r="G152" s="29" t="s">
        <v>382</v>
      </c>
      <c r="H152" s="6" t="s">
        <v>383</v>
      </c>
      <c r="I152" s="6"/>
      <c r="J152" s="6"/>
      <c r="K152" s="6"/>
      <c r="L152" s="13" t="s">
        <v>204</v>
      </c>
    </row>
    <row r="153" spans="1:12" x14ac:dyDescent="0.45">
      <c r="A153" s="6" t="s">
        <v>126</v>
      </c>
      <c r="B153" s="6" t="s">
        <v>127</v>
      </c>
      <c r="C153" s="6" t="s">
        <v>128</v>
      </c>
      <c r="D153" s="6" t="s">
        <v>129</v>
      </c>
      <c r="E153" s="6">
        <v>4</v>
      </c>
      <c r="F153" s="6" t="s">
        <v>367</v>
      </c>
      <c r="G153" s="29" t="s">
        <v>384</v>
      </c>
      <c r="H153" s="6" t="s">
        <v>385</v>
      </c>
      <c r="I153" s="6"/>
      <c r="J153" s="6"/>
      <c r="K153" s="6"/>
      <c r="L153" s="13" t="s">
        <v>204</v>
      </c>
    </row>
    <row r="154" spans="1:12" x14ac:dyDescent="0.45">
      <c r="A154" s="6" t="s">
        <v>126</v>
      </c>
      <c r="B154" s="6" t="s">
        <v>127</v>
      </c>
      <c r="C154" s="6" t="s">
        <v>128</v>
      </c>
      <c r="D154" s="6" t="s">
        <v>129</v>
      </c>
      <c r="E154" s="6">
        <v>4</v>
      </c>
      <c r="F154" s="6" t="s">
        <v>367</v>
      </c>
      <c r="G154" s="29" t="s">
        <v>386</v>
      </c>
      <c r="H154" s="6" t="s">
        <v>387</v>
      </c>
      <c r="I154" s="6"/>
      <c r="J154" s="6"/>
      <c r="K154" s="6">
        <v>25000</v>
      </c>
      <c r="L154" s="13" t="s">
        <v>204</v>
      </c>
    </row>
    <row r="155" spans="1:12" x14ac:dyDescent="0.45">
      <c r="A155" s="6" t="s">
        <v>126</v>
      </c>
      <c r="B155" s="6" t="s">
        <v>127</v>
      </c>
      <c r="C155" s="6" t="s">
        <v>128</v>
      </c>
      <c r="D155" s="6" t="s">
        <v>129</v>
      </c>
      <c r="E155" s="6">
        <v>4</v>
      </c>
      <c r="F155" s="6" t="s">
        <v>367</v>
      </c>
      <c r="G155" s="29" t="s">
        <v>388</v>
      </c>
      <c r="H155" s="6" t="s">
        <v>389</v>
      </c>
      <c r="I155" s="6"/>
      <c r="J155" s="6"/>
      <c r="K155" s="6">
        <v>50000000</v>
      </c>
      <c r="L155" s="13" t="s">
        <v>204</v>
      </c>
    </row>
    <row r="156" spans="1:12" x14ac:dyDescent="0.45">
      <c r="A156" s="6" t="s">
        <v>126</v>
      </c>
      <c r="B156" s="6" t="s">
        <v>127</v>
      </c>
      <c r="C156" s="6" t="s">
        <v>128</v>
      </c>
      <c r="D156" s="6" t="s">
        <v>129</v>
      </c>
      <c r="E156" s="6">
        <v>4</v>
      </c>
      <c r="F156" s="6" t="s">
        <v>390</v>
      </c>
      <c r="G156" s="13" t="s">
        <v>391</v>
      </c>
      <c r="H156" s="6" t="s">
        <v>392</v>
      </c>
      <c r="I156" s="6"/>
      <c r="J156" s="6"/>
      <c r="K156" s="72" t="s">
        <v>393</v>
      </c>
      <c r="L156" s="13" t="s">
        <v>204</v>
      </c>
    </row>
    <row r="157" spans="1:12" x14ac:dyDescent="0.45">
      <c r="A157" s="6" t="s">
        <v>126</v>
      </c>
      <c r="B157" s="6" t="s">
        <v>127</v>
      </c>
      <c r="C157" s="6" t="s">
        <v>128</v>
      </c>
      <c r="D157" s="6" t="s">
        <v>129</v>
      </c>
      <c r="E157" s="6">
        <v>4</v>
      </c>
      <c r="F157" s="6" t="s">
        <v>390</v>
      </c>
      <c r="G157" s="13" t="s">
        <v>394</v>
      </c>
      <c r="H157" s="6" t="s">
        <v>395</v>
      </c>
      <c r="I157" s="6"/>
      <c r="J157" s="6"/>
      <c r="K157" s="6">
        <v>0.02</v>
      </c>
      <c r="L157" s="13" t="s">
        <v>396</v>
      </c>
    </row>
    <row r="158" spans="1:12" x14ac:dyDescent="0.45">
      <c r="A158" s="6" t="s">
        <v>126</v>
      </c>
      <c r="B158" s="6" t="s">
        <v>127</v>
      </c>
      <c r="C158" s="6" t="s">
        <v>128</v>
      </c>
      <c r="D158" s="6" t="s">
        <v>129</v>
      </c>
      <c r="E158" s="6">
        <v>4</v>
      </c>
      <c r="F158" s="6" t="s">
        <v>390</v>
      </c>
      <c r="G158" s="13" t="s">
        <v>397</v>
      </c>
      <c r="H158" s="6" t="s">
        <v>398</v>
      </c>
      <c r="I158" s="6"/>
      <c r="J158" s="6"/>
      <c r="K158" s="6"/>
      <c r="L158" s="13" t="s">
        <v>204</v>
      </c>
    </row>
    <row r="159" spans="1:12" x14ac:dyDescent="0.45">
      <c r="A159" s="6" t="s">
        <v>126</v>
      </c>
      <c r="B159" s="6" t="s">
        <v>127</v>
      </c>
      <c r="C159" s="6" t="s">
        <v>128</v>
      </c>
      <c r="D159" s="6" t="s">
        <v>129</v>
      </c>
      <c r="E159" s="6">
        <v>4</v>
      </c>
      <c r="F159" s="6" t="s">
        <v>390</v>
      </c>
      <c r="G159" s="13" t="s">
        <v>399</v>
      </c>
      <c r="H159" s="6" t="s">
        <v>400</v>
      </c>
      <c r="I159" s="6"/>
      <c r="J159" s="6"/>
      <c r="K159" s="6"/>
      <c r="L159" s="13" t="s">
        <v>204</v>
      </c>
    </row>
    <row r="160" spans="1:12" x14ac:dyDescent="0.45">
      <c r="A160" s="6" t="s">
        <v>126</v>
      </c>
      <c r="B160" s="6" t="s">
        <v>127</v>
      </c>
      <c r="C160" s="6" t="s">
        <v>128</v>
      </c>
      <c r="D160" s="6" t="s">
        <v>129</v>
      </c>
      <c r="E160" s="6">
        <v>4</v>
      </c>
      <c r="F160" s="6" t="s">
        <v>390</v>
      </c>
      <c r="G160" s="13" t="s">
        <v>401</v>
      </c>
      <c r="H160" s="6" t="s">
        <v>402</v>
      </c>
      <c r="I160" s="6"/>
      <c r="J160" s="6"/>
      <c r="K160" s="6"/>
      <c r="L160" s="13" t="s">
        <v>204</v>
      </c>
    </row>
    <row r="161" spans="1:12" x14ac:dyDescent="0.45">
      <c r="A161" s="6" t="s">
        <v>126</v>
      </c>
      <c r="B161" s="6" t="s">
        <v>127</v>
      </c>
      <c r="C161" s="6" t="s">
        <v>128</v>
      </c>
      <c r="D161" s="6" t="s">
        <v>129</v>
      </c>
      <c r="E161" s="6">
        <v>4</v>
      </c>
      <c r="F161" s="6" t="s">
        <v>390</v>
      </c>
      <c r="G161" s="13" t="s">
        <v>403</v>
      </c>
      <c r="H161" s="6" t="s">
        <v>404</v>
      </c>
      <c r="I161" s="6"/>
      <c r="J161" s="6"/>
      <c r="K161" s="6"/>
      <c r="L161" s="13" t="s">
        <v>204</v>
      </c>
    </row>
    <row r="162" spans="1:12" x14ac:dyDescent="0.45">
      <c r="A162" s="6" t="s">
        <v>126</v>
      </c>
      <c r="B162" s="6" t="s">
        <v>127</v>
      </c>
      <c r="C162" s="6" t="s">
        <v>128</v>
      </c>
      <c r="D162" s="6" t="s">
        <v>129</v>
      </c>
      <c r="E162" s="6">
        <v>4</v>
      </c>
      <c r="F162" s="6" t="s">
        <v>390</v>
      </c>
      <c r="G162" s="13" t="s">
        <v>405</v>
      </c>
      <c r="H162" s="6" t="s">
        <v>406</v>
      </c>
      <c r="I162" s="6"/>
      <c r="J162" s="6"/>
      <c r="K162" s="6"/>
      <c r="L162" s="13" t="s">
        <v>204</v>
      </c>
    </row>
    <row r="163" spans="1:12" x14ac:dyDescent="0.45">
      <c r="A163" s="6" t="s">
        <v>126</v>
      </c>
      <c r="B163" s="6" t="s">
        <v>127</v>
      </c>
      <c r="C163" s="6" t="s">
        <v>128</v>
      </c>
      <c r="D163" s="6" t="s">
        <v>129</v>
      </c>
      <c r="E163" s="6">
        <v>4</v>
      </c>
      <c r="F163" s="6" t="s">
        <v>390</v>
      </c>
      <c r="G163" s="13" t="s">
        <v>407</v>
      </c>
      <c r="H163" s="6" t="s">
        <v>408</v>
      </c>
      <c r="I163" s="6"/>
      <c r="J163" s="6"/>
      <c r="K163" s="6"/>
      <c r="L163" s="13" t="s">
        <v>204</v>
      </c>
    </row>
    <row r="164" spans="1:12" x14ac:dyDescent="0.45">
      <c r="A164" s="6" t="s">
        <v>126</v>
      </c>
      <c r="B164" s="6" t="s">
        <v>127</v>
      </c>
      <c r="C164" s="6" t="s">
        <v>128</v>
      </c>
      <c r="D164" s="6" t="s">
        <v>129</v>
      </c>
      <c r="E164" s="6">
        <v>4</v>
      </c>
      <c r="F164" s="6" t="s">
        <v>390</v>
      </c>
      <c r="G164" s="13" t="s">
        <v>409</v>
      </c>
      <c r="H164" s="6" t="s">
        <v>410</v>
      </c>
      <c r="I164" s="6"/>
      <c r="J164" s="6"/>
      <c r="K164" s="6">
        <v>25000</v>
      </c>
      <c r="L164" s="13" t="s">
        <v>204</v>
      </c>
    </row>
    <row r="165" spans="1:12" x14ac:dyDescent="0.45">
      <c r="A165" s="6" t="s">
        <v>126</v>
      </c>
      <c r="B165" s="6" t="s">
        <v>127</v>
      </c>
      <c r="C165" s="6" t="s">
        <v>128</v>
      </c>
      <c r="D165" s="6" t="s">
        <v>129</v>
      </c>
      <c r="E165" s="6">
        <v>4</v>
      </c>
      <c r="F165" s="6" t="s">
        <v>390</v>
      </c>
      <c r="G165" s="13" t="s">
        <v>411</v>
      </c>
      <c r="H165" s="6" t="s">
        <v>412</v>
      </c>
      <c r="I165" s="6"/>
      <c r="J165" s="6"/>
      <c r="K165" s="6">
        <v>50000000</v>
      </c>
      <c r="L165" s="13" t="s">
        <v>204</v>
      </c>
    </row>
    <row r="166" spans="1:12" x14ac:dyDescent="0.45">
      <c r="A166" s="6" t="s">
        <v>126</v>
      </c>
      <c r="B166" s="6" t="s">
        <v>127</v>
      </c>
      <c r="C166" s="6" t="s">
        <v>128</v>
      </c>
      <c r="D166" s="6" t="s">
        <v>129</v>
      </c>
      <c r="E166" s="6">
        <v>4</v>
      </c>
      <c r="F166" s="6" t="s">
        <v>413</v>
      </c>
      <c r="G166" s="29" t="s">
        <v>414</v>
      </c>
      <c r="H166" s="6" t="s">
        <v>415</v>
      </c>
      <c r="I166" s="6"/>
      <c r="J166" s="6"/>
      <c r="K166" s="6" t="s">
        <v>416</v>
      </c>
      <c r="L166" s="13" t="s">
        <v>204</v>
      </c>
    </row>
    <row r="167" spans="1:12" x14ac:dyDescent="0.45">
      <c r="A167" s="6" t="s">
        <v>126</v>
      </c>
      <c r="B167" s="6" t="s">
        <v>127</v>
      </c>
      <c r="C167" s="6" t="s">
        <v>128</v>
      </c>
      <c r="D167" s="6" t="s">
        <v>129</v>
      </c>
      <c r="E167" s="6">
        <v>4</v>
      </c>
      <c r="F167" s="6" t="s">
        <v>413</v>
      </c>
      <c r="G167" s="29" t="s">
        <v>417</v>
      </c>
      <c r="H167" s="6" t="s">
        <v>418</v>
      </c>
      <c r="I167" s="6"/>
      <c r="J167" s="6"/>
      <c r="K167" s="6">
        <v>8.3333329999999997E-2</v>
      </c>
      <c r="L167" s="13" t="s">
        <v>204</v>
      </c>
    </row>
    <row r="168" spans="1:12" x14ac:dyDescent="0.45">
      <c r="A168" s="6" t="s">
        <v>126</v>
      </c>
      <c r="B168" s="6" t="s">
        <v>127</v>
      </c>
      <c r="C168" s="6" t="s">
        <v>128</v>
      </c>
      <c r="D168" s="6" t="s">
        <v>129</v>
      </c>
      <c r="E168" s="6">
        <v>4</v>
      </c>
      <c r="F168" s="6" t="s">
        <v>413</v>
      </c>
      <c r="G168" s="29" t="s">
        <v>419</v>
      </c>
      <c r="H168" s="6" t="s">
        <v>420</v>
      </c>
      <c r="I168" s="6"/>
      <c r="J168" s="6"/>
      <c r="K168" s="6">
        <v>12000000</v>
      </c>
      <c r="L168" s="13" t="s">
        <v>204</v>
      </c>
    </row>
    <row r="169" spans="1:12" x14ac:dyDescent="0.45">
      <c r="A169" s="6" t="s">
        <v>126</v>
      </c>
      <c r="B169" s="6" t="s">
        <v>127</v>
      </c>
      <c r="C169" s="6" t="s">
        <v>128</v>
      </c>
      <c r="D169" s="6" t="s">
        <v>129</v>
      </c>
      <c r="E169" s="6">
        <v>4</v>
      </c>
      <c r="F169" s="6" t="s">
        <v>413</v>
      </c>
      <c r="G169" s="29" t="s">
        <v>421</v>
      </c>
      <c r="H169" s="6" t="s">
        <v>422</v>
      </c>
      <c r="I169" s="6"/>
      <c r="J169" s="6"/>
      <c r="K169" s="6">
        <v>0.125</v>
      </c>
      <c r="L169" s="13" t="s">
        <v>204</v>
      </c>
    </row>
    <row r="170" spans="1:12" x14ac:dyDescent="0.45">
      <c r="A170" s="6" t="s">
        <v>126</v>
      </c>
      <c r="B170" s="6" t="s">
        <v>127</v>
      </c>
      <c r="C170" s="6" t="s">
        <v>128</v>
      </c>
      <c r="D170" s="6" t="s">
        <v>129</v>
      </c>
      <c r="E170" s="6">
        <v>4</v>
      </c>
      <c r="F170" s="6" t="s">
        <v>413</v>
      </c>
      <c r="G170" s="29" t="s">
        <v>423</v>
      </c>
      <c r="H170" s="6" t="s">
        <v>424</v>
      </c>
      <c r="I170" s="6"/>
      <c r="J170" s="6"/>
      <c r="K170" s="6">
        <v>18000000</v>
      </c>
      <c r="L170" s="13" t="s">
        <v>204</v>
      </c>
    </row>
    <row r="171" spans="1:12" x14ac:dyDescent="0.45">
      <c r="A171" s="6" t="s">
        <v>126</v>
      </c>
      <c r="B171" s="6" t="s">
        <v>127</v>
      </c>
      <c r="C171" s="6" t="s">
        <v>128</v>
      </c>
      <c r="D171" s="6" t="s">
        <v>129</v>
      </c>
      <c r="E171" s="6">
        <v>4</v>
      </c>
      <c r="F171" s="6" t="s">
        <v>413</v>
      </c>
      <c r="G171" s="29" t="s">
        <v>425</v>
      </c>
      <c r="H171" s="6" t="s">
        <v>426</v>
      </c>
      <c r="I171" s="6"/>
      <c r="J171" s="6"/>
      <c r="K171" s="6">
        <v>0.16666666699999999</v>
      </c>
      <c r="L171" s="13" t="s">
        <v>204</v>
      </c>
    </row>
    <row r="172" spans="1:12" x14ac:dyDescent="0.45">
      <c r="A172" s="6" t="s">
        <v>126</v>
      </c>
      <c r="B172" s="6" t="s">
        <v>127</v>
      </c>
      <c r="C172" s="6" t="s">
        <v>128</v>
      </c>
      <c r="D172" s="6" t="s">
        <v>129</v>
      </c>
      <c r="E172" s="6">
        <v>4</v>
      </c>
      <c r="F172" s="6" t="s">
        <v>413</v>
      </c>
      <c r="G172" s="29" t="s">
        <v>427</v>
      </c>
      <c r="H172" s="6" t="s">
        <v>428</v>
      </c>
      <c r="I172" s="6"/>
      <c r="J172" s="6"/>
      <c r="K172" s="6"/>
      <c r="L172" s="13" t="s">
        <v>204</v>
      </c>
    </row>
    <row r="173" spans="1:12" x14ac:dyDescent="0.45">
      <c r="A173" s="6" t="s">
        <v>126</v>
      </c>
      <c r="B173" s="6" t="s">
        <v>127</v>
      </c>
      <c r="C173" s="6" t="s">
        <v>128</v>
      </c>
      <c r="D173" s="6" t="s">
        <v>129</v>
      </c>
      <c r="E173" s="6">
        <v>4</v>
      </c>
      <c r="F173" s="6" t="s">
        <v>413</v>
      </c>
      <c r="G173" s="29" t="s">
        <v>429</v>
      </c>
      <c r="H173" s="6" t="s">
        <v>430</v>
      </c>
      <c r="I173" s="6"/>
      <c r="J173" s="6"/>
      <c r="K173" s="6"/>
      <c r="L173" s="13" t="s">
        <v>204</v>
      </c>
    </row>
    <row r="174" spans="1:12" x14ac:dyDescent="0.45">
      <c r="A174" s="6" t="s">
        <v>126</v>
      </c>
      <c r="B174" s="6" t="s">
        <v>127</v>
      </c>
      <c r="C174" s="6" t="s">
        <v>128</v>
      </c>
      <c r="D174" s="6" t="s">
        <v>129</v>
      </c>
      <c r="E174" s="6">
        <v>4</v>
      </c>
      <c r="F174" s="6" t="s">
        <v>413</v>
      </c>
      <c r="G174" s="29" t="s">
        <v>431</v>
      </c>
      <c r="H174" s="6" t="s">
        <v>432</v>
      </c>
      <c r="I174" s="6"/>
      <c r="J174" s="6"/>
      <c r="K174" s="6">
        <v>30000</v>
      </c>
      <c r="L174" s="13" t="s">
        <v>204</v>
      </c>
    </row>
    <row r="175" spans="1:12" x14ac:dyDescent="0.45">
      <c r="A175" s="6" t="s">
        <v>126</v>
      </c>
      <c r="B175" s="6" t="s">
        <v>127</v>
      </c>
      <c r="C175" s="6" t="s">
        <v>128</v>
      </c>
      <c r="D175" s="6" t="s">
        <v>129</v>
      </c>
      <c r="E175" s="6">
        <v>4</v>
      </c>
      <c r="F175" s="6" t="s">
        <v>413</v>
      </c>
      <c r="G175" s="29" t="s">
        <v>433</v>
      </c>
      <c r="H175" s="6" t="s">
        <v>434</v>
      </c>
      <c r="I175" s="6"/>
      <c r="J175" s="6"/>
      <c r="K175" s="6">
        <v>30000000</v>
      </c>
      <c r="L175" s="13" t="s">
        <v>204</v>
      </c>
    </row>
    <row r="176" spans="1:12" x14ac:dyDescent="0.45">
      <c r="A176" s="6" t="s">
        <v>126</v>
      </c>
      <c r="B176" s="6" t="s">
        <v>127</v>
      </c>
      <c r="C176" s="6" t="s">
        <v>128</v>
      </c>
      <c r="D176" s="6" t="s">
        <v>129</v>
      </c>
      <c r="E176" s="6">
        <v>5</v>
      </c>
      <c r="F176" s="6" t="s">
        <v>435</v>
      </c>
      <c r="G176" s="30" t="s">
        <v>436</v>
      </c>
      <c r="H176" s="6" t="s">
        <v>437</v>
      </c>
      <c r="I176" s="6">
        <v>0.1</v>
      </c>
      <c r="J176" s="6">
        <v>0</v>
      </c>
      <c r="K176" s="6">
        <v>0.05</v>
      </c>
      <c r="L176" s="13" t="s">
        <v>204</v>
      </c>
    </row>
    <row r="177" spans="1:12" x14ac:dyDescent="0.45">
      <c r="A177" s="6" t="s">
        <v>126</v>
      </c>
      <c r="B177" s="6" t="s">
        <v>127</v>
      </c>
      <c r="C177" s="6" t="s">
        <v>128</v>
      </c>
      <c r="D177" s="6" t="s">
        <v>129</v>
      </c>
      <c r="E177" s="6">
        <v>5</v>
      </c>
      <c r="F177" s="6" t="s">
        <v>435</v>
      </c>
      <c r="G177" s="30" t="s">
        <v>438</v>
      </c>
      <c r="H177" s="6" t="s">
        <v>439</v>
      </c>
      <c r="I177" s="6"/>
      <c r="J177" s="6"/>
      <c r="K177" s="6">
        <v>1500000</v>
      </c>
      <c r="L177" s="13" t="s">
        <v>204</v>
      </c>
    </row>
    <row r="178" spans="1:12" x14ac:dyDescent="0.45">
      <c r="A178" s="6" t="s">
        <v>126</v>
      </c>
      <c r="B178" s="6" t="s">
        <v>127</v>
      </c>
      <c r="C178" s="6" t="s">
        <v>128</v>
      </c>
      <c r="D178" s="6" t="s">
        <v>129</v>
      </c>
      <c r="E178" s="6">
        <v>6</v>
      </c>
      <c r="F178" s="6" t="s">
        <v>25</v>
      </c>
      <c r="G178" s="31" t="s">
        <v>436</v>
      </c>
      <c r="H178" s="6" t="s">
        <v>440</v>
      </c>
      <c r="I178" s="6"/>
      <c r="J178" s="6"/>
      <c r="K178" s="6">
        <v>0.1</v>
      </c>
      <c r="L178" s="13" t="s">
        <v>204</v>
      </c>
    </row>
    <row r="179" spans="1:12" x14ac:dyDescent="0.45">
      <c r="A179" s="6" t="s">
        <v>126</v>
      </c>
      <c r="B179" s="6" t="s">
        <v>127</v>
      </c>
      <c r="C179" s="6" t="s">
        <v>441</v>
      </c>
      <c r="D179" s="6" t="s">
        <v>442</v>
      </c>
      <c r="E179" s="6">
        <v>1</v>
      </c>
      <c r="F179" s="6" t="s">
        <v>443</v>
      </c>
      <c r="G179" s="28" t="s">
        <v>436</v>
      </c>
      <c r="H179" s="6" t="s">
        <v>444</v>
      </c>
      <c r="I179" s="6">
        <v>0.18</v>
      </c>
      <c r="J179" s="6"/>
      <c r="K179" s="6">
        <v>0.05</v>
      </c>
      <c r="L179" s="13" t="s">
        <v>204</v>
      </c>
    </row>
    <row r="180" spans="1:12" x14ac:dyDescent="0.45">
      <c r="A180" s="6" t="s">
        <v>126</v>
      </c>
      <c r="B180" s="6" t="s">
        <v>127</v>
      </c>
      <c r="C180" s="6" t="s">
        <v>441</v>
      </c>
      <c r="D180" s="6" t="s">
        <v>442</v>
      </c>
      <c r="E180" s="6">
        <v>1</v>
      </c>
      <c r="F180" s="6" t="s">
        <v>443</v>
      </c>
      <c r="G180" s="28" t="s">
        <v>445</v>
      </c>
      <c r="H180" s="6" t="s">
        <v>446</v>
      </c>
      <c r="I180" s="6">
        <f>840000/I179</f>
        <v>4666666.666666667</v>
      </c>
      <c r="J180" s="6"/>
      <c r="K180" s="6">
        <v>3000000</v>
      </c>
      <c r="L180" s="13" t="s">
        <v>204</v>
      </c>
    </row>
    <row r="181" spans="1:12" x14ac:dyDescent="0.45">
      <c r="A181" s="6" t="s">
        <v>126</v>
      </c>
      <c r="B181" s="6" t="s">
        <v>127</v>
      </c>
      <c r="C181" s="6" t="s">
        <v>441</v>
      </c>
      <c r="D181" s="6" t="s">
        <v>442</v>
      </c>
      <c r="E181" s="6">
        <v>2</v>
      </c>
      <c r="F181" s="6" t="s">
        <v>447</v>
      </c>
      <c r="G181" s="22" t="s">
        <v>436</v>
      </c>
      <c r="H181" s="6" t="s">
        <v>448</v>
      </c>
      <c r="I181" s="6">
        <v>0.14000000000000001</v>
      </c>
      <c r="J181" s="6"/>
      <c r="K181" s="6">
        <v>0.05</v>
      </c>
      <c r="L181" s="13" t="s">
        <v>204</v>
      </c>
    </row>
    <row r="182" spans="1:12" x14ac:dyDescent="0.45">
      <c r="A182" s="6" t="s">
        <v>126</v>
      </c>
      <c r="B182" s="6" t="s">
        <v>127</v>
      </c>
      <c r="C182" s="6" t="s">
        <v>441</v>
      </c>
      <c r="D182" s="6" t="s">
        <v>442</v>
      </c>
      <c r="E182" s="6">
        <v>2</v>
      </c>
      <c r="F182" s="6" t="s">
        <v>447</v>
      </c>
      <c r="G182" s="22" t="s">
        <v>445</v>
      </c>
      <c r="H182" s="6" t="s">
        <v>449</v>
      </c>
      <c r="I182" s="6">
        <f>840000/I181</f>
        <v>5999999.9999999991</v>
      </c>
      <c r="J182" s="6"/>
      <c r="K182" s="6">
        <v>3000000</v>
      </c>
      <c r="L182" s="13" t="s">
        <v>204</v>
      </c>
    </row>
    <row r="183" spans="1:12" x14ac:dyDescent="0.45">
      <c r="A183" s="6" t="s">
        <v>126</v>
      </c>
      <c r="B183" s="6" t="s">
        <v>127</v>
      </c>
      <c r="C183" s="6" t="s">
        <v>441</v>
      </c>
      <c r="D183" s="6" t="s">
        <v>442</v>
      </c>
      <c r="E183" s="6">
        <v>3</v>
      </c>
      <c r="F183" s="6" t="s">
        <v>450</v>
      </c>
      <c r="G183" s="32" t="s">
        <v>436</v>
      </c>
      <c r="H183" s="6" t="s">
        <v>451</v>
      </c>
      <c r="I183" s="6"/>
      <c r="J183" s="6"/>
      <c r="K183" s="6">
        <v>7.0000000000000007E-2</v>
      </c>
      <c r="L183" s="13" t="s">
        <v>204</v>
      </c>
    </row>
    <row r="184" spans="1:12" x14ac:dyDescent="0.45">
      <c r="A184" s="6" t="s">
        <v>126</v>
      </c>
      <c r="B184" s="6" t="s">
        <v>127</v>
      </c>
      <c r="C184" s="6" t="s">
        <v>441</v>
      </c>
      <c r="D184" s="6" t="s">
        <v>442</v>
      </c>
      <c r="E184" s="6">
        <v>3</v>
      </c>
      <c r="F184" s="6" t="s">
        <v>450</v>
      </c>
      <c r="G184" s="32" t="s">
        <v>445</v>
      </c>
      <c r="H184" s="6" t="s">
        <v>452</v>
      </c>
      <c r="I184" s="6"/>
      <c r="J184" s="6"/>
      <c r="K184" s="6">
        <v>756000</v>
      </c>
      <c r="L184" s="13" t="s">
        <v>204</v>
      </c>
    </row>
    <row r="185" spans="1:12" x14ac:dyDescent="0.45">
      <c r="A185" s="6" t="s">
        <v>126</v>
      </c>
      <c r="B185" s="6" t="s">
        <v>127</v>
      </c>
      <c r="C185" s="6" t="s">
        <v>441</v>
      </c>
      <c r="D185" s="6" t="s">
        <v>442</v>
      </c>
      <c r="E185" s="6">
        <v>4</v>
      </c>
      <c r="F185" s="6" t="s">
        <v>453</v>
      </c>
      <c r="G185" s="15" t="s">
        <v>454</v>
      </c>
      <c r="H185" s="6" t="s">
        <v>455</v>
      </c>
      <c r="I185" s="6"/>
      <c r="J185" s="6"/>
      <c r="K185" s="6">
        <v>0.01</v>
      </c>
      <c r="L185" s="13" t="s">
        <v>204</v>
      </c>
    </row>
    <row r="186" spans="1:12" x14ac:dyDescent="0.45">
      <c r="A186" s="6" t="s">
        <v>126</v>
      </c>
      <c r="B186" s="6" t="s">
        <v>127</v>
      </c>
      <c r="C186" s="6" t="s">
        <v>441</v>
      </c>
      <c r="D186" s="6" t="s">
        <v>442</v>
      </c>
      <c r="E186" s="6">
        <v>4</v>
      </c>
      <c r="F186" s="6" t="s">
        <v>453</v>
      </c>
      <c r="G186" s="15" t="s">
        <v>456</v>
      </c>
      <c r="H186" s="6" t="s">
        <v>457</v>
      </c>
      <c r="I186" s="6"/>
      <c r="J186" s="6"/>
      <c r="K186" s="6">
        <v>756000</v>
      </c>
      <c r="L186" s="13" t="s">
        <v>204</v>
      </c>
    </row>
    <row r="187" spans="1:12" x14ac:dyDescent="0.45">
      <c r="A187" s="6" t="s">
        <v>126</v>
      </c>
      <c r="B187" s="6" t="s">
        <v>127</v>
      </c>
      <c r="C187" s="6" t="s">
        <v>441</v>
      </c>
      <c r="D187" s="6" t="s">
        <v>442</v>
      </c>
      <c r="E187" s="6">
        <v>4</v>
      </c>
      <c r="F187" s="6" t="s">
        <v>453</v>
      </c>
      <c r="G187" s="14" t="s">
        <v>458</v>
      </c>
      <c r="H187" s="6" t="s">
        <v>459</v>
      </c>
      <c r="I187" s="6"/>
      <c r="J187" s="6"/>
      <c r="K187" s="6">
        <v>0.03</v>
      </c>
      <c r="L187" s="13" t="s">
        <v>204</v>
      </c>
    </row>
    <row r="188" spans="1:12" x14ac:dyDescent="0.45">
      <c r="A188" s="6" t="s">
        <v>126</v>
      </c>
      <c r="B188" s="6" t="s">
        <v>127</v>
      </c>
      <c r="C188" s="6" t="s">
        <v>441</v>
      </c>
      <c r="D188" s="6" t="s">
        <v>442</v>
      </c>
      <c r="E188" s="6">
        <v>4</v>
      </c>
      <c r="F188" s="6" t="s">
        <v>453</v>
      </c>
      <c r="G188" s="14" t="s">
        <v>460</v>
      </c>
      <c r="H188" s="6" t="s">
        <v>461</v>
      </c>
      <c r="I188" s="6"/>
      <c r="J188" s="6"/>
      <c r="K188" s="6">
        <v>756000</v>
      </c>
      <c r="L188" s="13" t="s">
        <v>204</v>
      </c>
    </row>
    <row r="189" spans="1:12" x14ac:dyDescent="0.45">
      <c r="A189" s="6" t="s">
        <v>126</v>
      </c>
      <c r="B189" s="6" t="s">
        <v>127</v>
      </c>
      <c r="C189" s="6" t="s">
        <v>441</v>
      </c>
      <c r="D189" s="6" t="s">
        <v>442</v>
      </c>
      <c r="E189" s="6">
        <v>4</v>
      </c>
      <c r="F189" s="6" t="s">
        <v>453</v>
      </c>
      <c r="G189" s="19" t="s">
        <v>462</v>
      </c>
      <c r="H189" s="6" t="s">
        <v>463</v>
      </c>
      <c r="I189" s="6"/>
      <c r="J189" s="6"/>
      <c r="K189" s="6">
        <v>0.05</v>
      </c>
      <c r="L189" s="13" t="s">
        <v>204</v>
      </c>
    </row>
    <row r="190" spans="1:12" x14ac:dyDescent="0.45">
      <c r="A190" s="6" t="s">
        <v>126</v>
      </c>
      <c r="B190" s="6" t="s">
        <v>127</v>
      </c>
      <c r="C190" s="6" t="s">
        <v>441</v>
      </c>
      <c r="D190" s="6" t="s">
        <v>442</v>
      </c>
      <c r="E190" s="6">
        <v>4</v>
      </c>
      <c r="F190" s="6" t="s">
        <v>453</v>
      </c>
      <c r="G190" s="19" t="s">
        <v>464</v>
      </c>
      <c r="H190" s="6" t="s">
        <v>465</v>
      </c>
      <c r="I190" s="6"/>
      <c r="J190" s="6"/>
      <c r="K190" s="6">
        <v>756000</v>
      </c>
      <c r="L190" s="13" t="s">
        <v>204</v>
      </c>
    </row>
    <row r="191" spans="1:12" x14ac:dyDescent="0.45">
      <c r="A191" t="s">
        <v>466</v>
      </c>
      <c r="C191" t="s">
        <v>467</v>
      </c>
      <c r="D191" t="s">
        <v>468</v>
      </c>
      <c r="E191" s="4" t="s">
        <v>469</v>
      </c>
      <c r="F191" t="s">
        <v>470</v>
      </c>
      <c r="G191" t="s">
        <v>436</v>
      </c>
      <c r="H191" s="6" t="s">
        <v>471</v>
      </c>
      <c r="I191">
        <v>1.95</v>
      </c>
      <c r="J191" s="6">
        <v>0.5</v>
      </c>
      <c r="K191">
        <v>0.4</v>
      </c>
    </row>
    <row r="192" spans="1:12" x14ac:dyDescent="0.45">
      <c r="A192" t="s">
        <v>466</v>
      </c>
      <c r="C192" t="s">
        <v>467</v>
      </c>
      <c r="D192" t="s">
        <v>468</v>
      </c>
      <c r="E192" s="4" t="s">
        <v>469</v>
      </c>
      <c r="F192" t="s">
        <v>470</v>
      </c>
      <c r="G192" t="s">
        <v>436</v>
      </c>
      <c r="H192" s="6" t="s">
        <v>472</v>
      </c>
      <c r="I192">
        <v>0.67</v>
      </c>
      <c r="J192" s="6">
        <v>0.05</v>
      </c>
      <c r="K192">
        <v>0.05</v>
      </c>
    </row>
    <row r="193" spans="1:11" x14ac:dyDescent="0.45">
      <c r="A193" t="s">
        <v>466</v>
      </c>
      <c r="C193" t="s">
        <v>467</v>
      </c>
      <c r="D193" t="s">
        <v>468</v>
      </c>
      <c r="E193" s="4" t="s">
        <v>469</v>
      </c>
      <c r="F193" t="s">
        <v>470</v>
      </c>
      <c r="G193" t="s">
        <v>436</v>
      </c>
      <c r="H193" s="6" t="s">
        <v>473</v>
      </c>
      <c r="I193">
        <v>0.8</v>
      </c>
      <c r="J193" s="6">
        <v>0.36</v>
      </c>
      <c r="K193">
        <v>0.05</v>
      </c>
    </row>
    <row r="194" spans="1:11" x14ac:dyDescent="0.45">
      <c r="A194" t="s">
        <v>466</v>
      </c>
      <c r="C194" t="s">
        <v>467</v>
      </c>
      <c r="D194" t="s">
        <v>468</v>
      </c>
      <c r="E194" s="4" t="s">
        <v>469</v>
      </c>
      <c r="F194" t="s">
        <v>470</v>
      </c>
      <c r="G194" t="s">
        <v>436</v>
      </c>
      <c r="H194" s="6" t="s">
        <v>474</v>
      </c>
      <c r="I194">
        <v>7.4999999999999997E-2</v>
      </c>
      <c r="J194" s="6">
        <v>0.35</v>
      </c>
      <c r="K194">
        <v>0.05</v>
      </c>
    </row>
    <row r="195" spans="1:11" x14ac:dyDescent="0.45">
      <c r="A195" t="s">
        <v>466</v>
      </c>
      <c r="C195" t="s">
        <v>467</v>
      </c>
      <c r="D195" t="s">
        <v>468</v>
      </c>
      <c r="E195" s="4" t="s">
        <v>469</v>
      </c>
      <c r="F195" t="s">
        <v>470</v>
      </c>
      <c r="G195" t="s">
        <v>436</v>
      </c>
      <c r="H195" s="6" t="s">
        <v>475</v>
      </c>
      <c r="I195">
        <v>0.1</v>
      </c>
      <c r="J195" s="6">
        <v>0.3</v>
      </c>
      <c r="K195">
        <v>0.12</v>
      </c>
    </row>
    <row r="196" spans="1:11" x14ac:dyDescent="0.45">
      <c r="A196" t="s">
        <v>466</v>
      </c>
      <c r="C196" t="s">
        <v>467</v>
      </c>
      <c r="D196" t="s">
        <v>468</v>
      </c>
      <c r="E196" s="4" t="s">
        <v>469</v>
      </c>
      <c r="F196" t="s">
        <v>470</v>
      </c>
      <c r="G196" t="s">
        <v>436</v>
      </c>
      <c r="H196" s="6" t="s">
        <v>476</v>
      </c>
      <c r="I196">
        <v>0.3</v>
      </c>
      <c r="J196" s="6">
        <v>0.3</v>
      </c>
      <c r="K196">
        <v>0.05</v>
      </c>
    </row>
    <row r="197" spans="1:11" x14ac:dyDescent="0.45">
      <c r="A197" t="s">
        <v>466</v>
      </c>
      <c r="C197" t="s">
        <v>467</v>
      </c>
      <c r="D197" t="s">
        <v>468</v>
      </c>
      <c r="E197" s="4" t="s">
        <v>469</v>
      </c>
      <c r="F197" t="s">
        <v>470</v>
      </c>
      <c r="G197" t="s">
        <v>436</v>
      </c>
      <c r="H197" s="6" t="s">
        <v>477</v>
      </c>
      <c r="I197">
        <v>7.9000000000000001E-2</v>
      </c>
      <c r="J197" s="6">
        <v>0.05</v>
      </c>
      <c r="K197">
        <v>0.65</v>
      </c>
    </row>
    <row r="198" spans="1:11" x14ac:dyDescent="0.45">
      <c r="A198" t="s">
        <v>466</v>
      </c>
      <c r="C198" t="s">
        <v>467</v>
      </c>
      <c r="D198" t="s">
        <v>468</v>
      </c>
      <c r="E198" s="4" t="s">
        <v>469</v>
      </c>
      <c r="F198" t="s">
        <v>470</v>
      </c>
      <c r="G198" t="s">
        <v>436</v>
      </c>
      <c r="H198" s="6" t="s">
        <v>478</v>
      </c>
      <c r="I198">
        <v>9.5000000000000001E-2</v>
      </c>
      <c r="J198" s="6">
        <v>0.05</v>
      </c>
      <c r="K198">
        <v>0.1</v>
      </c>
    </row>
    <row r="199" spans="1:11" x14ac:dyDescent="0.45">
      <c r="A199" t="s">
        <v>466</v>
      </c>
      <c r="C199" t="s">
        <v>467</v>
      </c>
      <c r="D199" t="s">
        <v>468</v>
      </c>
      <c r="E199" s="4" t="s">
        <v>469</v>
      </c>
      <c r="F199" t="s">
        <v>470</v>
      </c>
      <c r="G199" t="s">
        <v>436</v>
      </c>
      <c r="H199" s="6" t="s">
        <v>479</v>
      </c>
      <c r="I199">
        <v>6.3E-2</v>
      </c>
      <c r="J199" s="6">
        <v>0.05</v>
      </c>
      <c r="K199">
        <v>0.15</v>
      </c>
    </row>
    <row r="200" spans="1:11" x14ac:dyDescent="0.45">
      <c r="A200" t="s">
        <v>466</v>
      </c>
      <c r="C200" t="s">
        <v>467</v>
      </c>
      <c r="D200" t="s">
        <v>468</v>
      </c>
      <c r="E200" s="4" t="s">
        <v>469</v>
      </c>
      <c r="F200" t="s">
        <v>470</v>
      </c>
      <c r="G200" t="s">
        <v>436</v>
      </c>
      <c r="H200" s="6" t="s">
        <v>480</v>
      </c>
      <c r="J200" s="6">
        <v>0.05</v>
      </c>
      <c r="K200">
        <v>0.05</v>
      </c>
    </row>
    <row r="201" spans="1:11" x14ac:dyDescent="0.45">
      <c r="A201" t="s">
        <v>466</v>
      </c>
      <c r="C201" t="s">
        <v>467</v>
      </c>
      <c r="D201" t="s">
        <v>468</v>
      </c>
      <c r="E201" s="4" t="s">
        <v>469</v>
      </c>
      <c r="F201" t="s">
        <v>470</v>
      </c>
      <c r="G201" t="s">
        <v>436</v>
      </c>
      <c r="H201" s="6" t="s">
        <v>481</v>
      </c>
      <c r="J201" s="6">
        <v>0.1</v>
      </c>
    </row>
    <row r="202" spans="1:11" x14ac:dyDescent="0.45">
      <c r="A202" t="s">
        <v>466</v>
      </c>
      <c r="C202" t="s">
        <v>467</v>
      </c>
      <c r="D202" t="s">
        <v>468</v>
      </c>
      <c r="E202" s="4" t="s">
        <v>469</v>
      </c>
      <c r="F202" t="s">
        <v>470</v>
      </c>
      <c r="G202" t="s">
        <v>482</v>
      </c>
      <c r="H202" s="6" t="s">
        <v>483</v>
      </c>
      <c r="I202" s="3" t="s">
        <v>484</v>
      </c>
      <c r="J202" s="8" t="s">
        <v>485</v>
      </c>
      <c r="K202" t="s">
        <v>486</v>
      </c>
    </row>
    <row r="203" spans="1:11" x14ac:dyDescent="0.45">
      <c r="A203" t="s">
        <v>466</v>
      </c>
      <c r="C203" t="s">
        <v>467</v>
      </c>
      <c r="D203" t="s">
        <v>468</v>
      </c>
      <c r="E203" s="4" t="s">
        <v>469</v>
      </c>
      <c r="F203" t="s">
        <v>470</v>
      </c>
      <c r="G203" t="s">
        <v>482</v>
      </c>
      <c r="H203" s="6" t="s">
        <v>487</v>
      </c>
      <c r="I203" s="3" t="s">
        <v>488</v>
      </c>
      <c r="J203" s="8" t="s">
        <v>489</v>
      </c>
      <c r="K203" t="s">
        <v>490</v>
      </c>
    </row>
    <row r="204" spans="1:11" x14ac:dyDescent="0.45">
      <c r="A204" t="s">
        <v>466</v>
      </c>
      <c r="C204" t="s">
        <v>467</v>
      </c>
      <c r="D204" t="s">
        <v>468</v>
      </c>
      <c r="E204" s="4" t="s">
        <v>469</v>
      </c>
      <c r="F204" t="s">
        <v>470</v>
      </c>
      <c r="G204" t="s">
        <v>482</v>
      </c>
      <c r="H204" s="6" t="s">
        <v>491</v>
      </c>
      <c r="I204" s="3" t="s">
        <v>492</v>
      </c>
      <c r="J204" s="8" t="s">
        <v>493</v>
      </c>
      <c r="K204" t="s">
        <v>494</v>
      </c>
    </row>
    <row r="205" spans="1:11" x14ac:dyDescent="0.45">
      <c r="A205" t="s">
        <v>466</v>
      </c>
      <c r="C205" t="s">
        <v>467</v>
      </c>
      <c r="D205" t="s">
        <v>468</v>
      </c>
      <c r="E205" s="4" t="s">
        <v>469</v>
      </c>
      <c r="F205" t="s">
        <v>470</v>
      </c>
      <c r="G205" t="s">
        <v>482</v>
      </c>
      <c r="H205" s="6" t="s">
        <v>495</v>
      </c>
      <c r="I205" s="3" t="s">
        <v>496</v>
      </c>
      <c r="J205" s="8" t="s">
        <v>497</v>
      </c>
      <c r="K205" t="s">
        <v>498</v>
      </c>
    </row>
    <row r="206" spans="1:11" x14ac:dyDescent="0.45">
      <c r="A206" t="s">
        <v>466</v>
      </c>
      <c r="C206" t="s">
        <v>467</v>
      </c>
      <c r="D206" t="s">
        <v>468</v>
      </c>
      <c r="E206" s="4" t="s">
        <v>469</v>
      </c>
      <c r="F206" t="s">
        <v>470</v>
      </c>
      <c r="G206" t="s">
        <v>482</v>
      </c>
      <c r="H206" s="6" t="s">
        <v>499</v>
      </c>
      <c r="I206" s="3" t="s">
        <v>500</v>
      </c>
      <c r="J206" s="8" t="s">
        <v>501</v>
      </c>
      <c r="K206" t="s">
        <v>502</v>
      </c>
    </row>
    <row r="207" spans="1:11" x14ac:dyDescent="0.45">
      <c r="A207" t="s">
        <v>466</v>
      </c>
      <c r="C207" t="s">
        <v>467</v>
      </c>
      <c r="D207" t="s">
        <v>468</v>
      </c>
      <c r="E207" s="4" t="s">
        <v>469</v>
      </c>
      <c r="F207" t="s">
        <v>470</v>
      </c>
      <c r="G207" t="s">
        <v>482</v>
      </c>
      <c r="H207" s="6" t="s">
        <v>503</v>
      </c>
      <c r="I207" s="3" t="s">
        <v>504</v>
      </c>
      <c r="J207" s="8" t="s">
        <v>505</v>
      </c>
      <c r="K207" t="s">
        <v>506</v>
      </c>
    </row>
    <row r="208" spans="1:11" x14ac:dyDescent="0.45">
      <c r="A208" t="s">
        <v>466</v>
      </c>
      <c r="C208" t="s">
        <v>467</v>
      </c>
      <c r="D208" t="s">
        <v>468</v>
      </c>
      <c r="E208" s="4" t="s">
        <v>469</v>
      </c>
      <c r="F208" t="s">
        <v>470</v>
      </c>
      <c r="G208" t="s">
        <v>482</v>
      </c>
      <c r="H208" s="6" t="s">
        <v>507</v>
      </c>
      <c r="I208" s="3">
        <v>254</v>
      </c>
      <c r="J208" s="8">
        <v>1006</v>
      </c>
      <c r="K208" s="3">
        <v>201</v>
      </c>
    </row>
    <row r="209" spans="1:11" x14ac:dyDescent="0.45">
      <c r="A209" t="s">
        <v>466</v>
      </c>
      <c r="C209" t="s">
        <v>467</v>
      </c>
      <c r="D209" t="s">
        <v>468</v>
      </c>
      <c r="E209" s="4" t="s">
        <v>469</v>
      </c>
      <c r="F209" t="s">
        <v>470</v>
      </c>
      <c r="G209" t="s">
        <v>482</v>
      </c>
      <c r="H209" s="6" t="s">
        <v>508</v>
      </c>
      <c r="I209" s="3">
        <v>255</v>
      </c>
      <c r="J209" s="8">
        <v>583</v>
      </c>
      <c r="K209" t="s">
        <v>509</v>
      </c>
    </row>
    <row r="210" spans="1:11" x14ac:dyDescent="0.45">
      <c r="A210" t="s">
        <v>466</v>
      </c>
      <c r="C210" t="s">
        <v>467</v>
      </c>
      <c r="D210" t="s">
        <v>468</v>
      </c>
      <c r="E210" s="4" t="s">
        <v>469</v>
      </c>
      <c r="F210" t="s">
        <v>470</v>
      </c>
      <c r="G210" t="s">
        <v>482</v>
      </c>
      <c r="H210" s="6" t="s">
        <v>510</v>
      </c>
      <c r="I210" s="3">
        <v>234</v>
      </c>
      <c r="J210" s="8" t="s">
        <v>511</v>
      </c>
      <c r="K210" t="s">
        <v>512</v>
      </c>
    </row>
    <row r="211" spans="1:11" x14ac:dyDescent="0.45">
      <c r="A211" t="s">
        <v>466</v>
      </c>
      <c r="C211" t="s">
        <v>467</v>
      </c>
      <c r="D211" t="s">
        <v>468</v>
      </c>
      <c r="E211" s="4" t="s">
        <v>469</v>
      </c>
      <c r="F211" t="s">
        <v>470</v>
      </c>
      <c r="G211" t="s">
        <v>482</v>
      </c>
      <c r="H211" s="6" t="s">
        <v>513</v>
      </c>
      <c r="J211" s="8" t="s">
        <v>514</v>
      </c>
      <c r="K211" t="s">
        <v>515</v>
      </c>
    </row>
    <row r="212" spans="1:11" x14ac:dyDescent="0.45">
      <c r="A212" t="s">
        <v>466</v>
      </c>
      <c r="C212" t="s">
        <v>467</v>
      </c>
      <c r="D212" t="s">
        <v>468</v>
      </c>
      <c r="E212" s="4" t="s">
        <v>469</v>
      </c>
      <c r="F212" t="s">
        <v>470</v>
      </c>
      <c r="G212" t="s">
        <v>482</v>
      </c>
      <c r="H212" s="6" t="s">
        <v>516</v>
      </c>
      <c r="J212" s="8" t="s">
        <v>517</v>
      </c>
    </row>
    <row r="213" spans="1:11" x14ac:dyDescent="0.45">
      <c r="A213" t="s">
        <v>466</v>
      </c>
      <c r="C213" t="s">
        <v>467</v>
      </c>
      <c r="D213" t="s">
        <v>468</v>
      </c>
      <c r="E213" s="4" t="s">
        <v>469</v>
      </c>
      <c r="F213" t="s">
        <v>470</v>
      </c>
      <c r="G213" t="s">
        <v>436</v>
      </c>
      <c r="H213" t="s">
        <v>518</v>
      </c>
      <c r="I213">
        <v>-0.56999999999999995</v>
      </c>
      <c r="J213" s="6">
        <v>-0.56999999999999995</v>
      </c>
      <c r="K213">
        <v>-0.56999999999999995</v>
      </c>
    </row>
    <row r="214" spans="1:11" x14ac:dyDescent="0.45">
      <c r="A214" t="s">
        <v>466</v>
      </c>
      <c r="C214" t="s">
        <v>467</v>
      </c>
      <c r="D214" t="s">
        <v>468</v>
      </c>
      <c r="E214" s="4" t="s">
        <v>469</v>
      </c>
      <c r="F214" t="s">
        <v>470</v>
      </c>
      <c r="G214" t="s">
        <v>436</v>
      </c>
      <c r="H214" t="s">
        <v>519</v>
      </c>
      <c r="I214">
        <v>-0.4</v>
      </c>
      <c r="J214" s="6">
        <v>-0.56999999999999995</v>
      </c>
      <c r="K214">
        <v>-0.56999999999999995</v>
      </c>
    </row>
    <row r="215" spans="1:11" x14ac:dyDescent="0.45">
      <c r="A215" t="s">
        <v>466</v>
      </c>
      <c r="C215" t="s">
        <v>467</v>
      </c>
      <c r="D215" t="s">
        <v>468</v>
      </c>
      <c r="E215" s="4" t="s">
        <v>469</v>
      </c>
      <c r="F215" t="s">
        <v>470</v>
      </c>
      <c r="G215" t="s">
        <v>436</v>
      </c>
      <c r="H215" t="s">
        <v>520</v>
      </c>
      <c r="I215">
        <v>-0.56999999999999995</v>
      </c>
      <c r="J215" s="6">
        <v>-0.56999999999999995</v>
      </c>
      <c r="K215">
        <v>0</v>
      </c>
    </row>
    <row r="216" spans="1:11" x14ac:dyDescent="0.45">
      <c r="A216" t="s">
        <v>466</v>
      </c>
      <c r="C216" t="s">
        <v>467</v>
      </c>
      <c r="D216" t="s">
        <v>468</v>
      </c>
      <c r="E216" s="4" t="s">
        <v>469</v>
      </c>
      <c r="F216" t="s">
        <v>470</v>
      </c>
      <c r="G216" t="s">
        <v>436</v>
      </c>
      <c r="H216" t="s">
        <v>521</v>
      </c>
      <c r="I216">
        <v>0</v>
      </c>
      <c r="J216" s="6">
        <v>-0.56999999999999995</v>
      </c>
      <c r="K216">
        <v>0</v>
      </c>
    </row>
    <row r="217" spans="1:11" x14ac:dyDescent="0.45">
      <c r="A217" t="s">
        <v>466</v>
      </c>
      <c r="C217" t="s">
        <v>467</v>
      </c>
      <c r="D217" t="s">
        <v>468</v>
      </c>
      <c r="E217" s="4" t="s">
        <v>469</v>
      </c>
      <c r="F217" t="s">
        <v>470</v>
      </c>
      <c r="G217" t="s">
        <v>436</v>
      </c>
      <c r="H217" t="s">
        <v>522</v>
      </c>
      <c r="I217">
        <v>-0.56999999999999995</v>
      </c>
      <c r="J217" s="6">
        <v>-0.4</v>
      </c>
      <c r="K217">
        <v>0</v>
      </c>
    </row>
    <row r="218" spans="1:11" x14ac:dyDescent="0.45">
      <c r="A218" t="s">
        <v>466</v>
      </c>
      <c r="C218" t="s">
        <v>467</v>
      </c>
      <c r="D218" t="s">
        <v>468</v>
      </c>
      <c r="E218" s="4" t="s">
        <v>469</v>
      </c>
      <c r="F218" t="s">
        <v>470</v>
      </c>
      <c r="G218" t="s">
        <v>436</v>
      </c>
      <c r="H218" t="s">
        <v>523</v>
      </c>
      <c r="I218">
        <v>0</v>
      </c>
      <c r="J218" s="6">
        <v>-0.4</v>
      </c>
      <c r="K218">
        <v>-0.56999999999999995</v>
      </c>
    </row>
    <row r="219" spans="1:11" x14ac:dyDescent="0.45">
      <c r="A219" t="s">
        <v>466</v>
      </c>
      <c r="C219" t="s">
        <v>467</v>
      </c>
      <c r="D219" t="s">
        <v>468</v>
      </c>
      <c r="E219" s="4" t="s">
        <v>469</v>
      </c>
      <c r="F219" t="s">
        <v>470</v>
      </c>
      <c r="G219" t="s">
        <v>436</v>
      </c>
      <c r="H219" t="s">
        <v>524</v>
      </c>
      <c r="I219">
        <v>-0.56999999999999995</v>
      </c>
      <c r="J219" s="6">
        <v>0</v>
      </c>
      <c r="K219">
        <v>-0.4</v>
      </c>
    </row>
    <row r="220" spans="1:11" x14ac:dyDescent="0.45">
      <c r="A220" t="s">
        <v>466</v>
      </c>
      <c r="C220" t="s">
        <v>467</v>
      </c>
      <c r="D220" t="s">
        <v>468</v>
      </c>
      <c r="E220" s="4" t="s">
        <v>469</v>
      </c>
      <c r="F220" t="s">
        <v>470</v>
      </c>
      <c r="G220" t="s">
        <v>436</v>
      </c>
      <c r="H220" t="s">
        <v>525</v>
      </c>
      <c r="I220">
        <v>-0.56999999999999995</v>
      </c>
      <c r="J220" s="6">
        <v>0</v>
      </c>
      <c r="K220">
        <v>0</v>
      </c>
    </row>
    <row r="221" spans="1:11" x14ac:dyDescent="0.45">
      <c r="A221" t="s">
        <v>466</v>
      </c>
      <c r="C221" t="s">
        <v>467</v>
      </c>
      <c r="D221" t="s">
        <v>468</v>
      </c>
      <c r="E221" s="4" t="s">
        <v>469</v>
      </c>
      <c r="F221" t="s">
        <v>470</v>
      </c>
      <c r="G221" t="s">
        <v>436</v>
      </c>
      <c r="H221" t="s">
        <v>526</v>
      </c>
      <c r="I221">
        <v>-0.56999999999999995</v>
      </c>
      <c r="J221" s="6">
        <v>0</v>
      </c>
      <c r="K221">
        <v>0</v>
      </c>
    </row>
    <row r="222" spans="1:11" x14ac:dyDescent="0.45">
      <c r="A222" t="s">
        <v>466</v>
      </c>
      <c r="C222" t="s">
        <v>467</v>
      </c>
      <c r="D222" t="s">
        <v>468</v>
      </c>
      <c r="E222" s="4" t="s">
        <v>469</v>
      </c>
      <c r="F222" t="s">
        <v>470</v>
      </c>
      <c r="G222" t="s">
        <v>436</v>
      </c>
      <c r="H222" t="s">
        <v>527</v>
      </c>
      <c r="J222" s="6">
        <v>0</v>
      </c>
      <c r="K222">
        <v>0</v>
      </c>
    </row>
    <row r="223" spans="1:11" x14ac:dyDescent="0.45">
      <c r="A223" t="s">
        <v>466</v>
      </c>
      <c r="C223" t="s">
        <v>467</v>
      </c>
      <c r="D223" t="s">
        <v>468</v>
      </c>
      <c r="E223" s="4" t="s">
        <v>469</v>
      </c>
      <c r="F223" t="s">
        <v>470</v>
      </c>
      <c r="G223" t="s">
        <v>436</v>
      </c>
      <c r="H223" t="s">
        <v>528</v>
      </c>
      <c r="J223" s="6">
        <v>-0.2</v>
      </c>
    </row>
    <row r="224" spans="1:11" x14ac:dyDescent="0.45">
      <c r="A224" t="s">
        <v>466</v>
      </c>
      <c r="C224" t="s">
        <v>467</v>
      </c>
      <c r="D224" t="s">
        <v>468</v>
      </c>
      <c r="E224" s="4" t="s">
        <v>469</v>
      </c>
      <c r="F224" t="s">
        <v>470</v>
      </c>
      <c r="H224" t="s">
        <v>529</v>
      </c>
      <c r="I224" t="s">
        <v>530</v>
      </c>
      <c r="J224" s="6" t="s">
        <v>531</v>
      </c>
      <c r="K224" t="s">
        <v>532</v>
      </c>
    </row>
    <row r="225" spans="1:11" x14ac:dyDescent="0.45">
      <c r="A225" t="s">
        <v>466</v>
      </c>
      <c r="C225" t="s">
        <v>467</v>
      </c>
      <c r="D225" t="s">
        <v>468</v>
      </c>
      <c r="E225" s="4" t="s">
        <v>469</v>
      </c>
      <c r="F225" t="s">
        <v>470</v>
      </c>
      <c r="H225" t="s">
        <v>533</v>
      </c>
      <c r="I225" t="s">
        <v>534</v>
      </c>
      <c r="J225" s="6" t="s">
        <v>535</v>
      </c>
      <c r="K225" t="s">
        <v>536</v>
      </c>
    </row>
    <row r="226" spans="1:11" x14ac:dyDescent="0.45">
      <c r="A226" t="s">
        <v>466</v>
      </c>
      <c r="C226" t="s">
        <v>467</v>
      </c>
      <c r="D226" t="s">
        <v>468</v>
      </c>
      <c r="E226" s="4" t="s">
        <v>469</v>
      </c>
      <c r="F226" t="s">
        <v>470</v>
      </c>
      <c r="H226" t="s">
        <v>537</v>
      </c>
      <c r="I226" t="s">
        <v>538</v>
      </c>
      <c r="J226" s="6" t="s">
        <v>539</v>
      </c>
      <c r="K226" t="s">
        <v>540</v>
      </c>
    </row>
    <row r="227" spans="1:11" x14ac:dyDescent="0.45">
      <c r="A227" t="s">
        <v>466</v>
      </c>
      <c r="C227" t="s">
        <v>467</v>
      </c>
      <c r="D227" t="s">
        <v>468</v>
      </c>
      <c r="E227" s="4" t="s">
        <v>469</v>
      </c>
      <c r="F227" t="s">
        <v>470</v>
      </c>
      <c r="H227" t="s">
        <v>541</v>
      </c>
      <c r="I227" t="s">
        <v>542</v>
      </c>
      <c r="J227" s="6" t="s">
        <v>543</v>
      </c>
      <c r="K227" t="s">
        <v>544</v>
      </c>
    </row>
    <row r="228" spans="1:11" x14ac:dyDescent="0.45">
      <c r="A228" t="s">
        <v>466</v>
      </c>
      <c r="C228" t="s">
        <v>467</v>
      </c>
      <c r="D228" t="s">
        <v>468</v>
      </c>
      <c r="E228" s="4" t="s">
        <v>469</v>
      </c>
      <c r="F228" t="s">
        <v>470</v>
      </c>
      <c r="H228" t="s">
        <v>545</v>
      </c>
      <c r="I228" t="s">
        <v>546</v>
      </c>
      <c r="J228" s="6" t="s">
        <v>547</v>
      </c>
      <c r="K228" t="s">
        <v>548</v>
      </c>
    </row>
    <row r="229" spans="1:11" x14ac:dyDescent="0.45">
      <c r="A229" t="s">
        <v>466</v>
      </c>
      <c r="C229" t="s">
        <v>467</v>
      </c>
      <c r="D229" t="s">
        <v>468</v>
      </c>
      <c r="E229" s="4" t="s">
        <v>469</v>
      </c>
      <c r="F229" t="s">
        <v>470</v>
      </c>
      <c r="H229" t="s">
        <v>549</v>
      </c>
      <c r="I229" t="s">
        <v>550</v>
      </c>
      <c r="J229" s="6" t="s">
        <v>551</v>
      </c>
      <c r="K229" t="s">
        <v>552</v>
      </c>
    </row>
    <row r="230" spans="1:11" x14ac:dyDescent="0.45">
      <c r="A230" t="s">
        <v>466</v>
      </c>
      <c r="C230" t="s">
        <v>467</v>
      </c>
      <c r="D230" t="s">
        <v>468</v>
      </c>
      <c r="E230" s="4" t="s">
        <v>469</v>
      </c>
      <c r="F230" t="s">
        <v>470</v>
      </c>
      <c r="H230" t="s">
        <v>553</v>
      </c>
      <c r="I230" t="s">
        <v>554</v>
      </c>
      <c r="J230" s="6" t="s">
        <v>555</v>
      </c>
      <c r="K230" t="s">
        <v>551</v>
      </c>
    </row>
    <row r="231" spans="1:11" x14ac:dyDescent="0.45">
      <c r="A231" t="s">
        <v>466</v>
      </c>
      <c r="C231" t="s">
        <v>467</v>
      </c>
      <c r="D231" t="s">
        <v>468</v>
      </c>
      <c r="E231" s="4" t="s">
        <v>469</v>
      </c>
      <c r="F231" t="s">
        <v>470</v>
      </c>
      <c r="H231" t="s">
        <v>556</v>
      </c>
      <c r="I231" t="s">
        <v>557</v>
      </c>
      <c r="J231" s="6" t="s">
        <v>558</v>
      </c>
      <c r="K231" t="s">
        <v>559</v>
      </c>
    </row>
    <row r="232" spans="1:11" x14ac:dyDescent="0.45">
      <c r="A232" t="s">
        <v>466</v>
      </c>
      <c r="C232" t="s">
        <v>467</v>
      </c>
      <c r="D232" t="s">
        <v>468</v>
      </c>
      <c r="E232" s="4" t="s">
        <v>469</v>
      </c>
      <c r="F232" t="s">
        <v>470</v>
      </c>
      <c r="H232" t="s">
        <v>560</v>
      </c>
      <c r="I232" t="s">
        <v>561</v>
      </c>
      <c r="J232" s="6" t="s">
        <v>562</v>
      </c>
      <c r="K232" t="s">
        <v>563</v>
      </c>
    </row>
    <row r="233" spans="1:11" x14ac:dyDescent="0.45">
      <c r="A233" t="s">
        <v>466</v>
      </c>
      <c r="C233" t="s">
        <v>467</v>
      </c>
      <c r="D233" t="s">
        <v>468</v>
      </c>
      <c r="E233" s="4" t="s">
        <v>469</v>
      </c>
      <c r="F233" t="s">
        <v>470</v>
      </c>
      <c r="H233" t="s">
        <v>564</v>
      </c>
      <c r="J233" s="6" t="s">
        <v>565</v>
      </c>
      <c r="K233" t="s">
        <v>566</v>
      </c>
    </row>
    <row r="234" spans="1:11" x14ac:dyDescent="0.45">
      <c r="A234" t="s">
        <v>466</v>
      </c>
      <c r="C234" t="s">
        <v>467</v>
      </c>
      <c r="D234" t="s">
        <v>468</v>
      </c>
      <c r="E234" s="4" t="s">
        <v>469</v>
      </c>
      <c r="F234" t="s">
        <v>470</v>
      </c>
      <c r="H234" t="s">
        <v>567</v>
      </c>
      <c r="J234" s="6" t="s">
        <v>568</v>
      </c>
    </row>
    <row r="235" spans="1:11" x14ac:dyDescent="0.45">
      <c r="A235" t="s">
        <v>466</v>
      </c>
      <c r="C235" t="s">
        <v>467</v>
      </c>
      <c r="D235" t="s">
        <v>468</v>
      </c>
      <c r="E235" s="4" t="s">
        <v>469</v>
      </c>
      <c r="F235" t="s">
        <v>470</v>
      </c>
      <c r="H235" t="s">
        <v>569</v>
      </c>
      <c r="I235" s="4">
        <v>9</v>
      </c>
      <c r="J235">
        <v>11</v>
      </c>
      <c r="K235">
        <v>10</v>
      </c>
    </row>
    <row r="236" spans="1:11" x14ac:dyDescent="0.45">
      <c r="A236" t="s">
        <v>466</v>
      </c>
      <c r="C236" t="s">
        <v>467</v>
      </c>
      <c r="D236" t="s">
        <v>468</v>
      </c>
      <c r="E236" s="4" t="s">
        <v>570</v>
      </c>
      <c r="F236" t="s">
        <v>571</v>
      </c>
      <c r="H236" t="s">
        <v>572</v>
      </c>
      <c r="I236">
        <v>0</v>
      </c>
      <c r="J236">
        <v>0</v>
      </c>
      <c r="K236">
        <v>0</v>
      </c>
    </row>
    <row r="237" spans="1:11" ht="16.350000000000001" customHeight="1" x14ac:dyDescent="0.45">
      <c r="A237" t="s">
        <v>466</v>
      </c>
      <c r="C237" t="s">
        <v>467</v>
      </c>
      <c r="D237" t="s">
        <v>468</v>
      </c>
      <c r="E237" s="4" t="s">
        <v>469</v>
      </c>
      <c r="F237" t="s">
        <v>470</v>
      </c>
      <c r="H237" t="s">
        <v>573</v>
      </c>
      <c r="I237">
        <v>0</v>
      </c>
      <c r="J237">
        <v>0</v>
      </c>
      <c r="K237">
        <v>0</v>
      </c>
    </row>
    <row r="238" spans="1:11" ht="16.350000000000001" customHeight="1" x14ac:dyDescent="0.45">
      <c r="A238" t="s">
        <v>126</v>
      </c>
      <c r="B238" t="s">
        <v>574</v>
      </c>
      <c r="C238" t="s">
        <v>575</v>
      </c>
      <c r="D238" t="s">
        <v>54</v>
      </c>
      <c r="E238">
        <v>1</v>
      </c>
      <c r="F238" t="s">
        <v>576</v>
      </c>
      <c r="G238" s="44" t="s">
        <v>577</v>
      </c>
      <c r="H238" t="str">
        <f t="shared" ref="H238:H302" si="0">_xlfn.CONCAT(C238, "_", E238, "_", G238)</f>
        <v>P4_1_g1_name</v>
      </c>
      <c r="I238" t="s">
        <v>578</v>
      </c>
      <c r="J238" t="s">
        <v>578</v>
      </c>
      <c r="K238" t="s">
        <v>579</v>
      </c>
    </row>
    <row r="239" spans="1:11" ht="16.350000000000001" customHeight="1" x14ac:dyDescent="0.45">
      <c r="A239" t="s">
        <v>126</v>
      </c>
      <c r="B239" t="s">
        <v>574</v>
      </c>
      <c r="C239" t="s">
        <v>575</v>
      </c>
      <c r="D239" t="s">
        <v>54</v>
      </c>
      <c r="E239">
        <v>1</v>
      </c>
      <c r="F239" t="s">
        <v>576</v>
      </c>
      <c r="G239" s="44" t="s">
        <v>580</v>
      </c>
      <c r="H239" t="str">
        <f t="shared" si="0"/>
        <v>P4_1_g2_name</v>
      </c>
      <c r="I239" t="s">
        <v>581</v>
      </c>
      <c r="J239" t="s">
        <v>581</v>
      </c>
      <c r="K239" t="s">
        <v>582</v>
      </c>
    </row>
    <row r="240" spans="1:11" ht="16.350000000000001" customHeight="1" x14ac:dyDescent="0.45">
      <c r="A240" t="s">
        <v>126</v>
      </c>
      <c r="B240" t="s">
        <v>574</v>
      </c>
      <c r="C240" t="s">
        <v>575</v>
      </c>
      <c r="D240" t="s">
        <v>54</v>
      </c>
      <c r="E240">
        <v>1</v>
      </c>
      <c r="F240" t="s">
        <v>576</v>
      </c>
      <c r="G240" s="44" t="s">
        <v>583</v>
      </c>
      <c r="H240" t="str">
        <f t="shared" si="0"/>
        <v>P4_1_g3_name</v>
      </c>
      <c r="K240" t="s">
        <v>584</v>
      </c>
    </row>
    <row r="241" spans="1:11" ht="16.350000000000001" customHeight="1" x14ac:dyDescent="0.45">
      <c r="A241" t="s">
        <v>126</v>
      </c>
      <c r="B241" t="s">
        <v>574</v>
      </c>
      <c r="C241" t="s">
        <v>575</v>
      </c>
      <c r="D241" t="s">
        <v>54</v>
      </c>
      <c r="E241">
        <v>1</v>
      </c>
      <c r="F241" t="s">
        <v>576</v>
      </c>
      <c r="G241" s="44" t="s">
        <v>585</v>
      </c>
      <c r="H241" t="str">
        <f t="shared" si="0"/>
        <v>P4_1_g4_name</v>
      </c>
      <c r="K241" t="s">
        <v>586</v>
      </c>
    </row>
    <row r="242" spans="1:11" ht="16.350000000000001" customHeight="1" x14ac:dyDescent="0.45">
      <c r="A242" t="s">
        <v>126</v>
      </c>
      <c r="B242" t="s">
        <v>574</v>
      </c>
      <c r="C242" t="s">
        <v>575</v>
      </c>
      <c r="D242" t="s">
        <v>54</v>
      </c>
      <c r="E242">
        <v>1</v>
      </c>
      <c r="F242" t="s">
        <v>576</v>
      </c>
      <c r="G242" s="44" t="s">
        <v>587</v>
      </c>
      <c r="H242" t="str">
        <f t="shared" si="0"/>
        <v>P4_1_g5_name</v>
      </c>
      <c r="K242" t="s">
        <v>588</v>
      </c>
    </row>
    <row r="243" spans="1:11" ht="16.350000000000001" customHeight="1" x14ac:dyDescent="0.45">
      <c r="A243" t="s">
        <v>126</v>
      </c>
      <c r="B243" t="s">
        <v>574</v>
      </c>
      <c r="C243" t="s">
        <v>575</v>
      </c>
      <c r="D243" t="s">
        <v>54</v>
      </c>
      <c r="E243">
        <v>1</v>
      </c>
      <c r="F243" t="s">
        <v>576</v>
      </c>
      <c r="G243" s="45" t="s">
        <v>589</v>
      </c>
      <c r="H243" t="str">
        <f t="shared" si="0"/>
        <v>P4_1_g1_t1</v>
      </c>
      <c r="I243">
        <v>59</v>
      </c>
      <c r="J243">
        <v>13.85</v>
      </c>
      <c r="K243">
        <v>91.17</v>
      </c>
    </row>
    <row r="244" spans="1:11" ht="16.350000000000001" customHeight="1" x14ac:dyDescent="0.45">
      <c r="A244" t="s">
        <v>126</v>
      </c>
      <c r="B244" t="s">
        <v>574</v>
      </c>
      <c r="C244" t="s">
        <v>575</v>
      </c>
      <c r="D244" t="s">
        <v>54</v>
      </c>
      <c r="E244">
        <v>1</v>
      </c>
      <c r="F244" t="s">
        <v>576</v>
      </c>
      <c r="G244" s="45" t="s">
        <v>590</v>
      </c>
      <c r="H244" t="str">
        <f t="shared" si="0"/>
        <v>P4_1_g1_m1</v>
      </c>
      <c r="I244">
        <v>300</v>
      </c>
      <c r="J244" s="46">
        <f>2*300</f>
        <v>600</v>
      </c>
      <c r="K244">
        <v>150</v>
      </c>
    </row>
    <row r="245" spans="1:11" ht="16.350000000000001" customHeight="1" x14ac:dyDescent="0.45">
      <c r="A245" t="s">
        <v>126</v>
      </c>
      <c r="B245" t="s">
        <v>574</v>
      </c>
      <c r="C245" t="s">
        <v>575</v>
      </c>
      <c r="D245" t="s">
        <v>54</v>
      </c>
      <c r="E245">
        <v>1</v>
      </c>
      <c r="F245" t="s">
        <v>576</v>
      </c>
      <c r="G245" s="45" t="s">
        <v>591</v>
      </c>
      <c r="H245" t="str">
        <f t="shared" si="0"/>
        <v>P4_1_g1_t2</v>
      </c>
      <c r="I245">
        <v>59</v>
      </c>
      <c r="J245">
        <v>14.06</v>
      </c>
      <c r="K245">
        <v>112.5</v>
      </c>
    </row>
    <row r="246" spans="1:11" ht="16.350000000000001" customHeight="1" x14ac:dyDescent="0.45">
      <c r="A246" t="s">
        <v>126</v>
      </c>
      <c r="B246" t="s">
        <v>574</v>
      </c>
      <c r="C246" t="s">
        <v>575</v>
      </c>
      <c r="D246" t="s">
        <v>54</v>
      </c>
      <c r="E246">
        <v>1</v>
      </c>
      <c r="F246" t="s">
        <v>576</v>
      </c>
      <c r="G246" s="45" t="s">
        <v>592</v>
      </c>
      <c r="H246" t="str">
        <f t="shared" si="0"/>
        <v>P4_1_g1_m2</v>
      </c>
      <c r="J246" s="46">
        <f>2*600</f>
        <v>1200</v>
      </c>
      <c r="K246">
        <v>250</v>
      </c>
    </row>
    <row r="247" spans="1:11" ht="16.350000000000001" customHeight="1" x14ac:dyDescent="0.45">
      <c r="A247" t="s">
        <v>126</v>
      </c>
      <c r="B247" t="s">
        <v>574</v>
      </c>
      <c r="C247" t="s">
        <v>575</v>
      </c>
      <c r="D247" t="s">
        <v>54</v>
      </c>
      <c r="E247">
        <v>1</v>
      </c>
      <c r="F247" t="s">
        <v>576</v>
      </c>
      <c r="G247" s="45" t="s">
        <v>593</v>
      </c>
      <c r="H247" t="str">
        <f t="shared" si="0"/>
        <v>P4_1_g1_t3</v>
      </c>
      <c r="J247">
        <v>14.43</v>
      </c>
      <c r="K247">
        <v>124.62</v>
      </c>
    </row>
    <row r="248" spans="1:11" ht="16.350000000000001" customHeight="1" x14ac:dyDescent="0.45">
      <c r="A248" t="s">
        <v>126</v>
      </c>
      <c r="B248" t="s">
        <v>574</v>
      </c>
      <c r="C248" t="s">
        <v>575</v>
      </c>
      <c r="D248" t="s">
        <v>54</v>
      </c>
      <c r="E248">
        <v>1</v>
      </c>
      <c r="F248" t="s">
        <v>576</v>
      </c>
      <c r="G248" s="45" t="s">
        <v>594</v>
      </c>
      <c r="H248" t="str">
        <f t="shared" si="0"/>
        <v>P4_1_g1_m3</v>
      </c>
      <c r="J248" s="46">
        <f>2*1000</f>
        <v>2000</v>
      </c>
    </row>
    <row r="249" spans="1:11" ht="16.350000000000001" customHeight="1" x14ac:dyDescent="0.45">
      <c r="A249" t="s">
        <v>126</v>
      </c>
      <c r="B249" t="s">
        <v>574</v>
      </c>
      <c r="C249" t="s">
        <v>575</v>
      </c>
      <c r="D249" t="s">
        <v>54</v>
      </c>
      <c r="E249">
        <v>1</v>
      </c>
      <c r="F249" t="s">
        <v>576</v>
      </c>
      <c r="G249" s="45" t="s">
        <v>595</v>
      </c>
      <c r="H249" t="str">
        <f t="shared" si="0"/>
        <v>P4_1_g1_t4</v>
      </c>
      <c r="J249">
        <v>15.46</v>
      </c>
    </row>
    <row r="250" spans="1:11" ht="16.350000000000001" customHeight="1" x14ac:dyDescent="0.45">
      <c r="A250" t="s">
        <v>126</v>
      </c>
      <c r="B250" t="s">
        <v>574</v>
      </c>
      <c r="C250" t="s">
        <v>575</v>
      </c>
      <c r="D250" t="s">
        <v>54</v>
      </c>
      <c r="E250">
        <v>1</v>
      </c>
      <c r="F250" t="s">
        <v>576</v>
      </c>
      <c r="G250" s="45" t="s">
        <v>596</v>
      </c>
      <c r="H250" t="str">
        <f t="shared" si="0"/>
        <v>P4_1_g1_m4</v>
      </c>
    </row>
    <row r="251" spans="1:11" ht="16.350000000000001" customHeight="1" x14ac:dyDescent="0.45">
      <c r="A251" t="s">
        <v>126</v>
      </c>
      <c r="B251" t="s">
        <v>574</v>
      </c>
      <c r="C251" t="s">
        <v>575</v>
      </c>
      <c r="D251" t="s">
        <v>54</v>
      </c>
      <c r="E251">
        <v>1</v>
      </c>
      <c r="F251" t="s">
        <v>576</v>
      </c>
      <c r="G251" s="45" t="s">
        <v>597</v>
      </c>
      <c r="H251" t="str">
        <f t="shared" si="0"/>
        <v>P4_1_g1_t5</v>
      </c>
    </row>
    <row r="252" spans="1:11" ht="16.350000000000001" customHeight="1" x14ac:dyDescent="0.45">
      <c r="A252" t="s">
        <v>126</v>
      </c>
      <c r="B252" t="s">
        <v>574</v>
      </c>
      <c r="C252" t="s">
        <v>575</v>
      </c>
      <c r="D252" t="s">
        <v>54</v>
      </c>
      <c r="E252">
        <v>1</v>
      </c>
      <c r="F252" t="s">
        <v>576</v>
      </c>
      <c r="G252" s="47" t="s">
        <v>598</v>
      </c>
      <c r="H252" t="str">
        <f t="shared" si="0"/>
        <v>P4_1_g2_t1</v>
      </c>
      <c r="I252">
        <v>24.9</v>
      </c>
      <c r="J252">
        <v>13.85</v>
      </c>
      <c r="K252">
        <v>96.72</v>
      </c>
    </row>
    <row r="253" spans="1:11" ht="16.350000000000001" customHeight="1" x14ac:dyDescent="0.45">
      <c r="A253" t="s">
        <v>126</v>
      </c>
      <c r="B253" t="s">
        <v>574</v>
      </c>
      <c r="C253" t="s">
        <v>575</v>
      </c>
      <c r="D253" t="s">
        <v>54</v>
      </c>
      <c r="E253">
        <v>1</v>
      </c>
      <c r="F253" t="s">
        <v>576</v>
      </c>
      <c r="G253" s="47" t="s">
        <v>599</v>
      </c>
      <c r="H253" t="str">
        <f t="shared" si="0"/>
        <v>P4_1_g2_m1</v>
      </c>
      <c r="I253">
        <v>300</v>
      </c>
      <c r="J253">
        <v>300</v>
      </c>
      <c r="K253">
        <v>50</v>
      </c>
    </row>
    <row r="254" spans="1:11" ht="16.350000000000001" customHeight="1" x14ac:dyDescent="0.45">
      <c r="A254" t="s">
        <v>126</v>
      </c>
      <c r="B254" t="s">
        <v>574</v>
      </c>
      <c r="C254" t="s">
        <v>575</v>
      </c>
      <c r="D254" t="s">
        <v>54</v>
      </c>
      <c r="E254">
        <v>1</v>
      </c>
      <c r="F254" t="s">
        <v>576</v>
      </c>
      <c r="G254" s="47" t="s">
        <v>600</v>
      </c>
      <c r="H254" t="str">
        <f t="shared" si="0"/>
        <v>P4_1_g2_t2</v>
      </c>
      <c r="I254">
        <v>24.9</v>
      </c>
      <c r="J254">
        <v>14.06</v>
      </c>
      <c r="K254">
        <v>113.38</v>
      </c>
    </row>
    <row r="255" spans="1:11" ht="16.350000000000001" customHeight="1" x14ac:dyDescent="0.45">
      <c r="A255" t="s">
        <v>126</v>
      </c>
      <c r="B255" t="s">
        <v>574</v>
      </c>
      <c r="C255" t="s">
        <v>575</v>
      </c>
      <c r="D255" t="s">
        <v>54</v>
      </c>
      <c r="E255">
        <v>1</v>
      </c>
      <c r="F255" t="s">
        <v>576</v>
      </c>
      <c r="G255" s="47" t="s">
        <v>601</v>
      </c>
      <c r="H255" t="str">
        <f t="shared" si="0"/>
        <v>P4_1_g2_m2</v>
      </c>
      <c r="J255">
        <v>600</v>
      </c>
      <c r="K255">
        <v>300</v>
      </c>
    </row>
    <row r="256" spans="1:11" ht="16.350000000000001" customHeight="1" x14ac:dyDescent="0.45">
      <c r="A256" t="s">
        <v>126</v>
      </c>
      <c r="B256" t="s">
        <v>574</v>
      </c>
      <c r="C256" t="s">
        <v>575</v>
      </c>
      <c r="D256" t="s">
        <v>54</v>
      </c>
      <c r="E256">
        <v>1</v>
      </c>
      <c r="F256" t="s">
        <v>576</v>
      </c>
      <c r="G256" s="47" t="s">
        <v>602</v>
      </c>
      <c r="H256" t="str">
        <f t="shared" si="0"/>
        <v>P4_1_g2_t3</v>
      </c>
      <c r="J256">
        <v>14.43</v>
      </c>
      <c r="K256">
        <v>123.92</v>
      </c>
    </row>
    <row r="257" spans="1:11" ht="16.350000000000001" customHeight="1" x14ac:dyDescent="0.45">
      <c r="A257" t="s">
        <v>126</v>
      </c>
      <c r="B257" t="s">
        <v>574</v>
      </c>
      <c r="C257" t="s">
        <v>575</v>
      </c>
      <c r="D257" t="s">
        <v>54</v>
      </c>
      <c r="E257">
        <v>1</v>
      </c>
      <c r="F257" t="s">
        <v>576</v>
      </c>
      <c r="G257" s="47" t="s">
        <v>603</v>
      </c>
      <c r="H257" t="str">
        <f t="shared" si="0"/>
        <v>P4_1_g2_m3</v>
      </c>
      <c r="J257">
        <v>1000</v>
      </c>
    </row>
    <row r="258" spans="1:11" ht="16.350000000000001" customHeight="1" x14ac:dyDescent="0.45">
      <c r="A258" t="s">
        <v>126</v>
      </c>
      <c r="B258" t="s">
        <v>574</v>
      </c>
      <c r="C258" t="s">
        <v>575</v>
      </c>
      <c r="D258" t="s">
        <v>54</v>
      </c>
      <c r="E258">
        <v>1</v>
      </c>
      <c r="F258" t="s">
        <v>576</v>
      </c>
      <c r="G258" s="47" t="s">
        <v>604</v>
      </c>
      <c r="H258" t="str">
        <f t="shared" si="0"/>
        <v>P4_1_g2_t4</v>
      </c>
      <c r="J258">
        <v>15.46</v>
      </c>
    </row>
    <row r="259" spans="1:11" ht="16.350000000000001" customHeight="1" x14ac:dyDescent="0.45">
      <c r="A259" t="s">
        <v>126</v>
      </c>
      <c r="B259" t="s">
        <v>574</v>
      </c>
      <c r="C259" t="s">
        <v>575</v>
      </c>
      <c r="D259" t="s">
        <v>54</v>
      </c>
      <c r="E259">
        <v>1</v>
      </c>
      <c r="F259" t="s">
        <v>576</v>
      </c>
      <c r="G259" s="47" t="s">
        <v>605</v>
      </c>
      <c r="H259" t="str">
        <f t="shared" si="0"/>
        <v>P4_1_g2_m4</v>
      </c>
    </row>
    <row r="260" spans="1:11" ht="16.350000000000001" customHeight="1" x14ac:dyDescent="0.45">
      <c r="A260" t="s">
        <v>126</v>
      </c>
      <c r="B260" t="s">
        <v>574</v>
      </c>
      <c r="C260" t="s">
        <v>575</v>
      </c>
      <c r="D260" t="s">
        <v>54</v>
      </c>
      <c r="E260">
        <v>1</v>
      </c>
      <c r="F260" t="s">
        <v>576</v>
      </c>
      <c r="G260" s="47" t="s">
        <v>606</v>
      </c>
      <c r="H260" t="str">
        <f t="shared" si="0"/>
        <v>P4_1_g2_t5</v>
      </c>
    </row>
    <row r="261" spans="1:11" ht="16.350000000000001" customHeight="1" x14ac:dyDescent="0.45">
      <c r="A261" t="s">
        <v>126</v>
      </c>
      <c r="B261" t="s">
        <v>574</v>
      </c>
      <c r="C261" t="s">
        <v>575</v>
      </c>
      <c r="D261" t="s">
        <v>54</v>
      </c>
      <c r="E261">
        <v>1</v>
      </c>
      <c r="F261" t="s">
        <v>576</v>
      </c>
      <c r="G261" s="48" t="s">
        <v>607</v>
      </c>
      <c r="H261" t="str">
        <f t="shared" si="0"/>
        <v>P4_1_g3_t1</v>
      </c>
      <c r="K261">
        <v>0</v>
      </c>
    </row>
    <row r="262" spans="1:11" ht="16.350000000000001" customHeight="1" x14ac:dyDescent="0.45">
      <c r="A262" t="s">
        <v>126</v>
      </c>
      <c r="B262" t="s">
        <v>574</v>
      </c>
      <c r="C262" t="s">
        <v>575</v>
      </c>
      <c r="D262" t="s">
        <v>54</v>
      </c>
      <c r="E262">
        <v>1</v>
      </c>
      <c r="F262" t="s">
        <v>576</v>
      </c>
      <c r="G262" s="48" t="s">
        <v>608</v>
      </c>
      <c r="H262" t="str">
        <f t="shared" si="0"/>
        <v>P4_1_g3_m1</v>
      </c>
      <c r="K262">
        <v>0</v>
      </c>
    </row>
    <row r="263" spans="1:11" ht="16.350000000000001" customHeight="1" x14ac:dyDescent="0.45">
      <c r="A263" t="s">
        <v>126</v>
      </c>
      <c r="B263" t="s">
        <v>574</v>
      </c>
      <c r="C263" t="s">
        <v>575</v>
      </c>
      <c r="D263" t="s">
        <v>54</v>
      </c>
      <c r="E263">
        <v>1</v>
      </c>
      <c r="F263" t="s">
        <v>576</v>
      </c>
      <c r="G263" s="48" t="s">
        <v>609</v>
      </c>
      <c r="H263" t="str">
        <f t="shared" si="0"/>
        <v>P4_1_g3_t2</v>
      </c>
      <c r="K263">
        <v>0</v>
      </c>
    </row>
    <row r="264" spans="1:11" ht="16.350000000000001" customHeight="1" x14ac:dyDescent="0.45">
      <c r="A264" t="s">
        <v>126</v>
      </c>
      <c r="B264" t="s">
        <v>574</v>
      </c>
      <c r="C264" t="s">
        <v>575</v>
      </c>
      <c r="D264" t="s">
        <v>54</v>
      </c>
      <c r="E264">
        <v>1</v>
      </c>
      <c r="F264" t="s">
        <v>576</v>
      </c>
      <c r="G264" s="48" t="s">
        <v>610</v>
      </c>
      <c r="H264" t="str">
        <f t="shared" si="0"/>
        <v>P4_1_g3_m2</v>
      </c>
      <c r="K264">
        <v>0</v>
      </c>
    </row>
    <row r="265" spans="1:11" ht="16.350000000000001" customHeight="1" x14ac:dyDescent="0.45">
      <c r="A265" t="s">
        <v>126</v>
      </c>
      <c r="B265" t="s">
        <v>574</v>
      </c>
      <c r="C265" t="s">
        <v>575</v>
      </c>
      <c r="D265" t="s">
        <v>54</v>
      </c>
      <c r="E265">
        <v>1</v>
      </c>
      <c r="F265" t="s">
        <v>576</v>
      </c>
      <c r="G265" s="48" t="s">
        <v>611</v>
      </c>
      <c r="H265" t="str">
        <f t="shared" si="0"/>
        <v>P4_1_g3_t3</v>
      </c>
      <c r="K265">
        <v>114.61</v>
      </c>
    </row>
    <row r="266" spans="1:11" ht="16.350000000000001" customHeight="1" x14ac:dyDescent="0.45">
      <c r="A266" t="s">
        <v>126</v>
      </c>
      <c r="B266" t="s">
        <v>574</v>
      </c>
      <c r="C266" t="s">
        <v>575</v>
      </c>
      <c r="D266" t="s">
        <v>54</v>
      </c>
      <c r="E266">
        <v>1</v>
      </c>
      <c r="F266" t="s">
        <v>576</v>
      </c>
      <c r="G266" s="48" t="s">
        <v>612</v>
      </c>
      <c r="H266" t="str">
        <f t="shared" si="0"/>
        <v>P4_1_g3_m3</v>
      </c>
    </row>
    <row r="267" spans="1:11" ht="16.350000000000001" customHeight="1" x14ac:dyDescent="0.45">
      <c r="A267" t="s">
        <v>126</v>
      </c>
      <c r="B267" t="s">
        <v>574</v>
      </c>
      <c r="C267" t="s">
        <v>575</v>
      </c>
      <c r="D267" t="s">
        <v>54</v>
      </c>
      <c r="E267">
        <v>1</v>
      </c>
      <c r="F267" t="s">
        <v>576</v>
      </c>
      <c r="G267" s="48" t="s">
        <v>613</v>
      </c>
      <c r="H267" t="str">
        <f t="shared" si="0"/>
        <v>P4_1_g3_t4</v>
      </c>
    </row>
    <row r="268" spans="1:11" ht="16.350000000000001" customHeight="1" x14ac:dyDescent="0.45">
      <c r="A268" t="s">
        <v>126</v>
      </c>
      <c r="B268" t="s">
        <v>574</v>
      </c>
      <c r="C268" t="s">
        <v>575</v>
      </c>
      <c r="D268" t="s">
        <v>54</v>
      </c>
      <c r="E268">
        <v>1</v>
      </c>
      <c r="F268" t="s">
        <v>576</v>
      </c>
      <c r="G268" s="48" t="s">
        <v>614</v>
      </c>
      <c r="H268" t="str">
        <f t="shared" si="0"/>
        <v>P4_1_g3_m4</v>
      </c>
    </row>
    <row r="269" spans="1:11" ht="16.350000000000001" customHeight="1" x14ac:dyDescent="0.45">
      <c r="A269" t="s">
        <v>126</v>
      </c>
      <c r="B269" t="s">
        <v>574</v>
      </c>
      <c r="C269" t="s">
        <v>575</v>
      </c>
      <c r="D269" t="s">
        <v>54</v>
      </c>
      <c r="E269">
        <v>1</v>
      </c>
      <c r="F269" t="s">
        <v>576</v>
      </c>
      <c r="G269" s="48" t="s">
        <v>615</v>
      </c>
      <c r="H269" t="str">
        <f t="shared" si="0"/>
        <v>P4_1_g3_t5</v>
      </c>
    </row>
    <row r="270" spans="1:11" ht="16.350000000000001" customHeight="1" x14ac:dyDescent="0.45">
      <c r="A270" t="s">
        <v>126</v>
      </c>
      <c r="B270" t="s">
        <v>574</v>
      </c>
      <c r="C270" t="s">
        <v>575</v>
      </c>
      <c r="D270" t="s">
        <v>54</v>
      </c>
      <c r="E270">
        <v>1</v>
      </c>
      <c r="F270" t="s">
        <v>576</v>
      </c>
      <c r="G270" s="49" t="s">
        <v>616</v>
      </c>
      <c r="H270" t="str">
        <f t="shared" si="0"/>
        <v>P4_1_g4_t1</v>
      </c>
      <c r="K270">
        <v>91.17</v>
      </c>
    </row>
    <row r="271" spans="1:11" ht="16.350000000000001" customHeight="1" x14ac:dyDescent="0.45">
      <c r="A271" t="s">
        <v>126</v>
      </c>
      <c r="B271" t="s">
        <v>574</v>
      </c>
      <c r="C271" t="s">
        <v>575</v>
      </c>
      <c r="D271" t="s">
        <v>54</v>
      </c>
      <c r="E271">
        <v>1</v>
      </c>
      <c r="F271" t="s">
        <v>576</v>
      </c>
      <c r="G271" s="49" t="s">
        <v>617</v>
      </c>
      <c r="H271" t="str">
        <f t="shared" si="0"/>
        <v>P4_1_g4_m1</v>
      </c>
      <c r="K271">
        <v>300</v>
      </c>
    </row>
    <row r="272" spans="1:11" ht="16.350000000000001" customHeight="1" x14ac:dyDescent="0.45">
      <c r="A272" t="s">
        <v>126</v>
      </c>
      <c r="B272" t="s">
        <v>574</v>
      </c>
      <c r="C272" t="s">
        <v>575</v>
      </c>
      <c r="D272" t="s">
        <v>54</v>
      </c>
      <c r="E272">
        <v>1</v>
      </c>
      <c r="F272" t="s">
        <v>576</v>
      </c>
      <c r="G272" s="49" t="s">
        <v>618</v>
      </c>
      <c r="H272" t="str">
        <f t="shared" si="0"/>
        <v>P4_1_g4_t2</v>
      </c>
      <c r="K272">
        <v>112.5</v>
      </c>
    </row>
    <row r="273" spans="1:11" ht="16.350000000000001" customHeight="1" x14ac:dyDescent="0.45">
      <c r="A273" t="s">
        <v>126</v>
      </c>
      <c r="B273" t="s">
        <v>574</v>
      </c>
      <c r="C273" t="s">
        <v>575</v>
      </c>
      <c r="D273" t="s">
        <v>54</v>
      </c>
      <c r="E273">
        <v>1</v>
      </c>
      <c r="F273" t="s">
        <v>576</v>
      </c>
      <c r="G273" s="49" t="s">
        <v>619</v>
      </c>
      <c r="H273" t="str">
        <f t="shared" si="0"/>
        <v>P4_1_g4_m2</v>
      </c>
      <c r="K273">
        <v>500</v>
      </c>
    </row>
    <row r="274" spans="1:11" ht="16.350000000000001" customHeight="1" x14ac:dyDescent="0.45">
      <c r="A274" t="s">
        <v>126</v>
      </c>
      <c r="B274" t="s">
        <v>574</v>
      </c>
      <c r="C274" t="s">
        <v>575</v>
      </c>
      <c r="D274" t="s">
        <v>54</v>
      </c>
      <c r="E274">
        <v>1</v>
      </c>
      <c r="F274" t="s">
        <v>576</v>
      </c>
      <c r="G274" s="49" t="s">
        <v>620</v>
      </c>
      <c r="H274" t="str">
        <f t="shared" si="0"/>
        <v>P4_1_g4_t3</v>
      </c>
      <c r="K274">
        <v>112.5</v>
      </c>
    </row>
    <row r="275" spans="1:11" ht="16.350000000000001" customHeight="1" x14ac:dyDescent="0.45">
      <c r="A275" t="s">
        <v>126</v>
      </c>
      <c r="B275" t="s">
        <v>574</v>
      </c>
      <c r="C275" t="s">
        <v>575</v>
      </c>
      <c r="D275" t="s">
        <v>54</v>
      </c>
      <c r="E275">
        <v>1</v>
      </c>
      <c r="F275" t="s">
        <v>576</v>
      </c>
      <c r="G275" s="49" t="s">
        <v>621</v>
      </c>
      <c r="H275" t="str">
        <f t="shared" si="0"/>
        <v>P4_1_g4_m3</v>
      </c>
    </row>
    <row r="276" spans="1:11" ht="16.350000000000001" customHeight="1" x14ac:dyDescent="0.45">
      <c r="A276" t="s">
        <v>126</v>
      </c>
      <c r="B276" t="s">
        <v>574</v>
      </c>
      <c r="C276" t="s">
        <v>575</v>
      </c>
      <c r="D276" t="s">
        <v>54</v>
      </c>
      <c r="E276">
        <v>1</v>
      </c>
      <c r="F276" t="s">
        <v>576</v>
      </c>
      <c r="G276" s="49" t="s">
        <v>622</v>
      </c>
      <c r="H276" t="str">
        <f t="shared" si="0"/>
        <v>P4_1_g4_t4</v>
      </c>
    </row>
    <row r="277" spans="1:11" ht="16.350000000000001" customHeight="1" x14ac:dyDescent="0.45">
      <c r="A277" t="s">
        <v>126</v>
      </c>
      <c r="B277" t="s">
        <v>574</v>
      </c>
      <c r="C277" t="s">
        <v>575</v>
      </c>
      <c r="D277" t="s">
        <v>54</v>
      </c>
      <c r="E277">
        <v>1</v>
      </c>
      <c r="F277" t="s">
        <v>576</v>
      </c>
      <c r="G277" s="49" t="s">
        <v>623</v>
      </c>
      <c r="H277" t="str">
        <f t="shared" si="0"/>
        <v>P4_1_g4_m4</v>
      </c>
    </row>
    <row r="278" spans="1:11" ht="16.350000000000001" customHeight="1" x14ac:dyDescent="0.45">
      <c r="A278" t="s">
        <v>126</v>
      </c>
      <c r="B278" t="s">
        <v>574</v>
      </c>
      <c r="C278" t="s">
        <v>575</v>
      </c>
      <c r="D278" t="s">
        <v>54</v>
      </c>
      <c r="E278">
        <v>1</v>
      </c>
      <c r="F278" t="s">
        <v>576</v>
      </c>
      <c r="G278" s="49" t="s">
        <v>624</v>
      </c>
      <c r="H278" t="str">
        <f t="shared" si="0"/>
        <v>P4_1_g4_t5</v>
      </c>
    </row>
    <row r="279" spans="1:11" ht="16.350000000000001" customHeight="1" x14ac:dyDescent="0.45">
      <c r="A279" t="s">
        <v>126</v>
      </c>
      <c r="B279" t="s">
        <v>574</v>
      </c>
      <c r="C279" t="s">
        <v>575</v>
      </c>
      <c r="D279" t="s">
        <v>54</v>
      </c>
      <c r="E279">
        <v>1</v>
      </c>
      <c r="F279" t="s">
        <v>576</v>
      </c>
      <c r="G279" s="50" t="s">
        <v>625</v>
      </c>
      <c r="H279" t="str">
        <f t="shared" si="0"/>
        <v>P4_1_g5_t1</v>
      </c>
      <c r="K279">
        <v>96.72</v>
      </c>
    </row>
    <row r="280" spans="1:11" ht="16.350000000000001" customHeight="1" x14ac:dyDescent="0.45">
      <c r="A280" t="s">
        <v>126</v>
      </c>
      <c r="B280" t="s">
        <v>574</v>
      </c>
      <c r="C280" t="s">
        <v>575</v>
      </c>
      <c r="D280" t="s">
        <v>54</v>
      </c>
      <c r="E280">
        <v>1</v>
      </c>
      <c r="F280" t="s">
        <v>576</v>
      </c>
      <c r="G280" s="50" t="s">
        <v>626</v>
      </c>
      <c r="H280" t="str">
        <f t="shared" si="0"/>
        <v>P4_1_g5_m1</v>
      </c>
      <c r="K280">
        <v>100</v>
      </c>
    </row>
    <row r="281" spans="1:11" ht="16.350000000000001" customHeight="1" x14ac:dyDescent="0.45">
      <c r="A281" t="s">
        <v>126</v>
      </c>
      <c r="B281" t="s">
        <v>574</v>
      </c>
      <c r="C281" t="s">
        <v>575</v>
      </c>
      <c r="D281" t="s">
        <v>54</v>
      </c>
      <c r="E281">
        <v>1</v>
      </c>
      <c r="F281" t="s">
        <v>576</v>
      </c>
      <c r="G281" s="50" t="s">
        <v>627</v>
      </c>
      <c r="H281" t="str">
        <f t="shared" si="0"/>
        <v>P4_1_g5_t2</v>
      </c>
      <c r="K281">
        <v>113.38</v>
      </c>
    </row>
    <row r="282" spans="1:11" ht="16.350000000000001" customHeight="1" x14ac:dyDescent="0.45">
      <c r="A282" t="s">
        <v>126</v>
      </c>
      <c r="B282" t="s">
        <v>574</v>
      </c>
      <c r="C282" t="s">
        <v>575</v>
      </c>
      <c r="D282" t="s">
        <v>54</v>
      </c>
      <c r="E282">
        <v>1</v>
      </c>
      <c r="F282" t="s">
        <v>576</v>
      </c>
      <c r="G282" s="50" t="s">
        <v>628</v>
      </c>
      <c r="H282" t="str">
        <f t="shared" si="0"/>
        <v>P4_1_g5_m2</v>
      </c>
      <c r="K282">
        <v>600</v>
      </c>
    </row>
    <row r="283" spans="1:11" ht="16.350000000000001" customHeight="1" x14ac:dyDescent="0.45">
      <c r="A283" t="s">
        <v>126</v>
      </c>
      <c r="B283" t="s">
        <v>574</v>
      </c>
      <c r="C283" t="s">
        <v>575</v>
      </c>
      <c r="D283" t="s">
        <v>54</v>
      </c>
      <c r="E283">
        <v>1</v>
      </c>
      <c r="F283" t="s">
        <v>576</v>
      </c>
      <c r="G283" s="50" t="s">
        <v>629</v>
      </c>
      <c r="H283" t="str">
        <f t="shared" si="0"/>
        <v>P4_1_g5_t3</v>
      </c>
      <c r="K283">
        <v>113.38</v>
      </c>
    </row>
    <row r="284" spans="1:11" ht="16.350000000000001" customHeight="1" x14ac:dyDescent="0.45">
      <c r="A284" t="s">
        <v>126</v>
      </c>
      <c r="B284" t="s">
        <v>574</v>
      </c>
      <c r="C284" t="s">
        <v>575</v>
      </c>
      <c r="D284" t="s">
        <v>54</v>
      </c>
      <c r="E284">
        <v>1</v>
      </c>
      <c r="F284" t="s">
        <v>576</v>
      </c>
      <c r="G284" s="50" t="s">
        <v>630</v>
      </c>
      <c r="H284" t="str">
        <f t="shared" si="0"/>
        <v>P4_1_g5_m3</v>
      </c>
    </row>
    <row r="285" spans="1:11" ht="16.350000000000001" customHeight="1" x14ac:dyDescent="0.45">
      <c r="A285" t="s">
        <v>126</v>
      </c>
      <c r="B285" t="s">
        <v>574</v>
      </c>
      <c r="C285" t="s">
        <v>575</v>
      </c>
      <c r="D285" t="s">
        <v>54</v>
      </c>
      <c r="E285">
        <v>1</v>
      </c>
      <c r="F285" t="s">
        <v>576</v>
      </c>
      <c r="G285" s="50" t="s">
        <v>631</v>
      </c>
      <c r="H285" t="str">
        <f t="shared" si="0"/>
        <v>P4_1_g5_t4</v>
      </c>
    </row>
    <row r="286" spans="1:11" ht="16.350000000000001" customHeight="1" x14ac:dyDescent="0.45">
      <c r="A286" t="s">
        <v>126</v>
      </c>
      <c r="B286" t="s">
        <v>574</v>
      </c>
      <c r="C286" t="s">
        <v>575</v>
      </c>
      <c r="D286" t="s">
        <v>54</v>
      </c>
      <c r="E286">
        <v>1</v>
      </c>
      <c r="F286" t="s">
        <v>576</v>
      </c>
      <c r="G286" s="50" t="s">
        <v>632</v>
      </c>
      <c r="H286" t="str">
        <f t="shared" si="0"/>
        <v>P4_1_g5_m4</v>
      </c>
    </row>
    <row r="287" spans="1:11" ht="16.350000000000001" customHeight="1" x14ac:dyDescent="0.45">
      <c r="A287" t="s">
        <v>126</v>
      </c>
      <c r="B287" t="s">
        <v>574</v>
      </c>
      <c r="C287" t="s">
        <v>575</v>
      </c>
      <c r="D287" t="s">
        <v>54</v>
      </c>
      <c r="E287">
        <v>1</v>
      </c>
      <c r="F287" t="s">
        <v>576</v>
      </c>
      <c r="G287" s="50" t="s">
        <v>633</v>
      </c>
      <c r="H287" t="str">
        <f t="shared" si="0"/>
        <v>P4_1_g5_t5</v>
      </c>
    </row>
    <row r="288" spans="1:11" ht="16.350000000000001" customHeight="1" x14ac:dyDescent="0.45">
      <c r="A288" t="s">
        <v>126</v>
      </c>
      <c r="B288" t="s">
        <v>574</v>
      </c>
      <c r="C288" t="s">
        <v>575</v>
      </c>
      <c r="D288" t="s">
        <v>54</v>
      </c>
      <c r="E288">
        <v>1</v>
      </c>
      <c r="F288" t="s">
        <v>576</v>
      </c>
      <c r="G288" s="51" t="s">
        <v>634</v>
      </c>
      <c r="H288" t="str">
        <f t="shared" si="0"/>
        <v>P4_1_cost_dom</v>
      </c>
      <c r="I288">
        <v>60.9</v>
      </c>
      <c r="J288">
        <v>14.41</v>
      </c>
      <c r="K288">
        <v>158.4</v>
      </c>
    </row>
    <row r="289" spans="1:13" ht="16.350000000000001" customHeight="1" x14ac:dyDescent="0.45">
      <c r="A289" t="s">
        <v>126</v>
      </c>
      <c r="B289" t="s">
        <v>574</v>
      </c>
      <c r="C289" t="s">
        <v>575</v>
      </c>
      <c r="D289" t="s">
        <v>54</v>
      </c>
      <c r="E289">
        <v>1</v>
      </c>
      <c r="F289" t="s">
        <v>576</v>
      </c>
      <c r="G289" s="51" t="s">
        <v>635</v>
      </c>
      <c r="H289" t="str">
        <f t="shared" si="0"/>
        <v>P4_1_cost_prof</v>
      </c>
      <c r="I289">
        <v>60.9</v>
      </c>
      <c r="J289">
        <v>14.41</v>
      </c>
      <c r="K289">
        <v>142.38999999999999</v>
      </c>
    </row>
    <row r="290" spans="1:13" ht="16.350000000000001" customHeight="1" x14ac:dyDescent="0.45">
      <c r="A290" t="s">
        <v>126</v>
      </c>
      <c r="B290" t="s">
        <v>574</v>
      </c>
      <c r="C290" t="s">
        <v>575</v>
      </c>
      <c r="D290" t="s">
        <v>54</v>
      </c>
      <c r="E290">
        <v>1</v>
      </c>
      <c r="F290" t="s">
        <v>576</v>
      </c>
      <c r="G290" s="51" t="s">
        <v>636</v>
      </c>
      <c r="H290" t="str">
        <f t="shared" si="0"/>
        <v>P4_1_tprof</v>
      </c>
      <c r="I290">
        <v>57.799999999999898</v>
      </c>
      <c r="J290">
        <v>14.9</v>
      </c>
      <c r="K290">
        <v>122.04</v>
      </c>
    </row>
    <row r="291" spans="1:13" ht="16.350000000000001" customHeight="1" x14ac:dyDescent="0.45">
      <c r="A291" t="s">
        <v>126</v>
      </c>
      <c r="B291" t="s">
        <v>574</v>
      </c>
      <c r="C291" t="s">
        <v>575</v>
      </c>
      <c r="D291" t="s">
        <v>54</v>
      </c>
      <c r="E291">
        <v>1</v>
      </c>
      <c r="F291" t="s">
        <v>576</v>
      </c>
      <c r="G291" s="51" t="s">
        <v>637</v>
      </c>
      <c r="H291" t="str">
        <f t="shared" si="0"/>
        <v>P4_1_block_tariffs</v>
      </c>
      <c r="I291">
        <v>0</v>
      </c>
      <c r="J291">
        <v>1</v>
      </c>
      <c r="K291">
        <v>0</v>
      </c>
    </row>
    <row r="292" spans="1:13" ht="16.350000000000001" customHeight="1" x14ac:dyDescent="0.45">
      <c r="A292" t="s">
        <v>126</v>
      </c>
      <c r="B292" t="s">
        <v>574</v>
      </c>
      <c r="C292" t="s">
        <v>575</v>
      </c>
      <c r="D292" t="s">
        <v>54</v>
      </c>
      <c r="E292">
        <v>1</v>
      </c>
      <c r="F292" t="s">
        <v>576</v>
      </c>
      <c r="G292" s="51" t="s">
        <v>638</v>
      </c>
      <c r="H292" t="str">
        <f t="shared" si="0"/>
        <v>P4_1_t_noVAT</v>
      </c>
      <c r="I292">
        <v>1</v>
      </c>
      <c r="J292">
        <v>3</v>
      </c>
      <c r="K292">
        <v>2</v>
      </c>
    </row>
    <row r="293" spans="1:13" ht="16.350000000000001" customHeight="1" x14ac:dyDescent="0.45">
      <c r="A293" t="s">
        <v>126</v>
      </c>
      <c r="B293" t="s">
        <v>574</v>
      </c>
      <c r="C293" t="s">
        <v>575</v>
      </c>
      <c r="D293" t="s">
        <v>54</v>
      </c>
      <c r="E293">
        <v>1</v>
      </c>
      <c r="F293" t="s">
        <v>576</v>
      </c>
      <c r="G293" s="51" t="s">
        <v>639</v>
      </c>
      <c r="H293" t="str">
        <f t="shared" si="0"/>
        <v>P4_1_allcons_VAT</v>
      </c>
      <c r="I293">
        <v>0</v>
      </c>
      <c r="J293">
        <v>0</v>
      </c>
      <c r="K293">
        <v>0</v>
      </c>
    </row>
    <row r="294" spans="1:13" ht="16.350000000000001" customHeight="1" x14ac:dyDescent="0.45">
      <c r="A294" t="s">
        <v>126</v>
      </c>
      <c r="B294" t="s">
        <v>574</v>
      </c>
      <c r="C294" t="s">
        <v>575</v>
      </c>
      <c r="D294" t="s">
        <v>54</v>
      </c>
      <c r="E294">
        <v>1</v>
      </c>
      <c r="F294" t="s">
        <v>576</v>
      </c>
      <c r="G294" s="58" t="s">
        <v>640</v>
      </c>
      <c r="H294" s="59" t="str">
        <f t="shared" si="0"/>
        <v>P4_1_elec_weight_IO</v>
      </c>
      <c r="I294" s="60">
        <v>0.95140000000000002</v>
      </c>
      <c r="J294" s="61">
        <v>0.62570000000000003</v>
      </c>
      <c r="K294" s="60">
        <v>1</v>
      </c>
      <c r="L294" s="62" t="s">
        <v>641</v>
      </c>
    </row>
    <row r="295" spans="1:13" ht="16.350000000000001" customHeight="1" x14ac:dyDescent="0.45">
      <c r="A295" t="s">
        <v>126</v>
      </c>
      <c r="B295" t="s">
        <v>574</v>
      </c>
      <c r="C295" t="s">
        <v>575</v>
      </c>
      <c r="D295" t="s">
        <v>54</v>
      </c>
      <c r="E295">
        <v>2</v>
      </c>
      <c r="F295" t="s">
        <v>642</v>
      </c>
      <c r="G295" s="52" t="s">
        <v>643</v>
      </c>
      <c r="H295" t="str">
        <f t="shared" si="0"/>
        <v>P4_2_gasoline_mp</v>
      </c>
      <c r="I295" s="6">
        <v>43.64</v>
      </c>
      <c r="J295" s="6">
        <v>43.89</v>
      </c>
      <c r="K295" s="53">
        <v>866.58511323136645</v>
      </c>
      <c r="L295" s="13" t="s">
        <v>644</v>
      </c>
      <c r="M295" s="64"/>
    </row>
    <row r="296" spans="1:13" ht="16.350000000000001" customHeight="1" x14ac:dyDescent="0.45">
      <c r="A296" t="s">
        <v>126</v>
      </c>
      <c r="B296" t="s">
        <v>574</v>
      </c>
      <c r="C296" t="s">
        <v>575</v>
      </c>
      <c r="D296" t="s">
        <v>54</v>
      </c>
      <c r="E296">
        <v>2</v>
      </c>
      <c r="F296" t="s">
        <v>642</v>
      </c>
      <c r="G296" s="52" t="s">
        <v>645</v>
      </c>
      <c r="H296" t="str">
        <f t="shared" si="0"/>
        <v>P4_2_gasoline_sp</v>
      </c>
      <c r="I296" s="6">
        <v>43.58</v>
      </c>
      <c r="J296" s="6">
        <v>45.11</v>
      </c>
      <c r="K296" s="53">
        <v>664.99977999999999</v>
      </c>
      <c r="L296" s="13"/>
    </row>
    <row r="297" spans="1:13" ht="16.350000000000001" customHeight="1" x14ac:dyDescent="0.45">
      <c r="A297" t="s">
        <v>126</v>
      </c>
      <c r="B297" t="s">
        <v>574</v>
      </c>
      <c r="C297" t="s">
        <v>575</v>
      </c>
      <c r="D297" t="s">
        <v>54</v>
      </c>
      <c r="E297">
        <v>2</v>
      </c>
      <c r="F297" t="s">
        <v>642</v>
      </c>
      <c r="G297" s="54" t="s">
        <v>646</v>
      </c>
      <c r="H297" t="str">
        <f t="shared" si="0"/>
        <v>P4_2_kerosene_mp</v>
      </c>
      <c r="I297" s="6"/>
      <c r="J297" s="6">
        <v>35.07</v>
      </c>
      <c r="K297" s="6">
        <v>675.1082699055321</v>
      </c>
      <c r="L297" s="13" t="s">
        <v>647</v>
      </c>
      <c r="M297" s="64"/>
    </row>
    <row r="298" spans="1:13" ht="16.350000000000001" customHeight="1" x14ac:dyDescent="0.45">
      <c r="A298" t="s">
        <v>126</v>
      </c>
      <c r="B298" t="s">
        <v>574</v>
      </c>
      <c r="C298" t="s">
        <v>575</v>
      </c>
      <c r="D298" t="s">
        <v>54</v>
      </c>
      <c r="E298">
        <v>2</v>
      </c>
      <c r="F298" t="s">
        <v>642</v>
      </c>
      <c r="G298" s="54" t="s">
        <v>648</v>
      </c>
      <c r="H298" t="str">
        <f t="shared" si="0"/>
        <v>P4_2_kerosene_sp</v>
      </c>
      <c r="I298" s="6"/>
      <c r="J298" s="6">
        <v>36.22</v>
      </c>
      <c r="K298" s="6">
        <v>409.99941999999999</v>
      </c>
      <c r="L298" s="13"/>
    </row>
    <row r="299" spans="1:13" ht="16.350000000000001" customHeight="1" x14ac:dyDescent="0.45">
      <c r="A299" t="s">
        <v>126</v>
      </c>
      <c r="B299" t="s">
        <v>574</v>
      </c>
      <c r="C299" t="s">
        <v>575</v>
      </c>
      <c r="D299" t="s">
        <v>54</v>
      </c>
      <c r="E299">
        <v>2</v>
      </c>
      <c r="F299" t="s">
        <v>642</v>
      </c>
      <c r="G299" s="63" t="s">
        <v>649</v>
      </c>
      <c r="H299" t="str">
        <f t="shared" si="0"/>
        <v>P4_2_diesel_mp</v>
      </c>
      <c r="I299" s="6">
        <v>38.46</v>
      </c>
      <c r="J299" s="6">
        <v>44.48</v>
      </c>
      <c r="K299" s="53">
        <v>808.56913218390741</v>
      </c>
      <c r="L299" s="13" t="s">
        <v>650</v>
      </c>
      <c r="M299" s="64"/>
    </row>
    <row r="300" spans="1:13" ht="16.350000000000001" customHeight="1" x14ac:dyDescent="0.45">
      <c r="A300" t="s">
        <v>126</v>
      </c>
      <c r="B300" t="s">
        <v>574</v>
      </c>
      <c r="C300" t="s">
        <v>575</v>
      </c>
      <c r="D300" t="s">
        <v>54</v>
      </c>
      <c r="E300">
        <v>2</v>
      </c>
      <c r="F300" t="s">
        <v>642</v>
      </c>
      <c r="G300" s="63" t="s">
        <v>651</v>
      </c>
      <c r="H300" t="str">
        <f t="shared" si="0"/>
        <v>P4_2_diesel_sp</v>
      </c>
      <c r="I300" s="6">
        <v>39.29</v>
      </c>
      <c r="J300" s="6">
        <v>46.09</v>
      </c>
      <c r="K300" s="53">
        <v>655.00045999999998</v>
      </c>
      <c r="L300" s="13"/>
    </row>
    <row r="301" spans="1:13" ht="16.350000000000001" customHeight="1" x14ac:dyDescent="0.45">
      <c r="A301" t="s">
        <v>126</v>
      </c>
      <c r="B301" t="s">
        <v>574</v>
      </c>
      <c r="C301" t="s">
        <v>575</v>
      </c>
      <c r="D301" t="s">
        <v>54</v>
      </c>
      <c r="E301">
        <v>2</v>
      </c>
      <c r="F301" t="s">
        <v>642</v>
      </c>
      <c r="G301" s="55" t="s">
        <v>652</v>
      </c>
      <c r="H301" t="str">
        <f t="shared" si="0"/>
        <v>P4_2_butane_mp</v>
      </c>
      <c r="I301" s="6">
        <v>41.375999999999998</v>
      </c>
      <c r="J301" s="6"/>
      <c r="K301" s="6">
        <v>783.30342555555535</v>
      </c>
      <c r="L301" s="13" t="s">
        <v>653</v>
      </c>
      <c r="M301" s="64"/>
    </row>
    <row r="302" spans="1:13" ht="16.350000000000001" customHeight="1" x14ac:dyDescent="0.45">
      <c r="A302" t="s">
        <v>126</v>
      </c>
      <c r="B302" t="s">
        <v>574</v>
      </c>
      <c r="C302" t="s">
        <v>575</v>
      </c>
      <c r="D302" t="s">
        <v>54</v>
      </c>
      <c r="E302">
        <v>2</v>
      </c>
      <c r="F302" t="s">
        <v>642</v>
      </c>
      <c r="G302" s="55" t="s">
        <v>654</v>
      </c>
      <c r="H302" t="str">
        <f t="shared" si="0"/>
        <v>P4_2_butane_sp</v>
      </c>
      <c r="I302" s="6">
        <v>40.159999999999997</v>
      </c>
      <c r="J302" s="6"/>
      <c r="K302" s="6">
        <v>476.32255555555503</v>
      </c>
      <c r="L302" s="13"/>
    </row>
    <row r="303" spans="1:13" ht="16.350000000000001" customHeight="1" x14ac:dyDescent="0.45">
      <c r="A303" t="s">
        <v>126</v>
      </c>
      <c r="B303" t="s">
        <v>574</v>
      </c>
      <c r="C303" t="s">
        <v>575</v>
      </c>
      <c r="D303" t="s">
        <v>54</v>
      </c>
      <c r="E303">
        <v>2</v>
      </c>
      <c r="F303" t="s">
        <v>642</v>
      </c>
      <c r="G303" s="67" t="s">
        <v>655</v>
      </c>
      <c r="H303" s="66" t="str">
        <f t="shared" ref="H303:H332" si="1">_xlfn.CONCAT(C303, "_", E303, "_", G303)</f>
        <v>P4_2_pirogue_mp</v>
      </c>
      <c r="I303" s="68"/>
      <c r="J303" s="68"/>
      <c r="K303" s="66">
        <v>696.85981323136662</v>
      </c>
      <c r="L303" s="69" t="s">
        <v>656</v>
      </c>
      <c r="M303" s="64"/>
    </row>
    <row r="304" spans="1:13" ht="16.350000000000001" customHeight="1" x14ac:dyDescent="0.45">
      <c r="A304" t="s">
        <v>126</v>
      </c>
      <c r="B304" t="s">
        <v>574</v>
      </c>
      <c r="C304" t="s">
        <v>575</v>
      </c>
      <c r="D304" t="s">
        <v>54</v>
      </c>
      <c r="E304">
        <v>2</v>
      </c>
      <c r="F304" t="s">
        <v>642</v>
      </c>
      <c r="G304" s="67" t="s">
        <v>657</v>
      </c>
      <c r="H304" s="66" t="str">
        <f t="shared" si="1"/>
        <v>P4_2_pirogue_sp</v>
      </c>
      <c r="I304" s="68"/>
      <c r="J304" s="68"/>
      <c r="K304" s="66">
        <v>496.99964</v>
      </c>
      <c r="L304" s="69"/>
    </row>
    <row r="305" spans="1:12" ht="16.350000000000001" customHeight="1" x14ac:dyDescent="0.45">
      <c r="A305" t="s">
        <v>126</v>
      </c>
      <c r="B305" t="s">
        <v>574</v>
      </c>
      <c r="C305" t="s">
        <v>575</v>
      </c>
      <c r="D305" t="s">
        <v>54</v>
      </c>
      <c r="E305">
        <v>2</v>
      </c>
      <c r="F305" t="s">
        <v>642</v>
      </c>
      <c r="G305" s="70" t="s">
        <v>658</v>
      </c>
      <c r="H305" s="66" t="str">
        <f t="shared" si="1"/>
        <v>P4_2_super_mp</v>
      </c>
      <c r="I305" s="68"/>
      <c r="J305" s="68"/>
      <c r="K305" s="66">
        <v>903.40764892830725</v>
      </c>
      <c r="L305" s="69" t="s">
        <v>659</v>
      </c>
    </row>
    <row r="306" spans="1:12" ht="16.350000000000001" customHeight="1" x14ac:dyDescent="0.45">
      <c r="A306" t="s">
        <v>126</v>
      </c>
      <c r="B306" t="s">
        <v>574</v>
      </c>
      <c r="C306" t="s">
        <v>575</v>
      </c>
      <c r="D306" t="s">
        <v>54</v>
      </c>
      <c r="E306">
        <v>2</v>
      </c>
      <c r="F306" t="s">
        <v>642</v>
      </c>
      <c r="G306" s="70" t="s">
        <v>660</v>
      </c>
      <c r="H306" s="66" t="str">
        <f t="shared" si="1"/>
        <v>P4_2_super_sp</v>
      </c>
      <c r="I306" s="68"/>
      <c r="J306" s="68"/>
      <c r="K306" s="66">
        <v>775.00055999999995</v>
      </c>
      <c r="L306" s="69"/>
    </row>
    <row r="307" spans="1:12" ht="16.350000000000001" customHeight="1" x14ac:dyDescent="0.45">
      <c r="A307" t="s">
        <v>126</v>
      </c>
      <c r="B307" t="s">
        <v>574</v>
      </c>
      <c r="C307" t="s">
        <v>575</v>
      </c>
      <c r="D307" t="s">
        <v>54</v>
      </c>
      <c r="E307">
        <v>3</v>
      </c>
      <c r="F307" t="s">
        <v>661</v>
      </c>
      <c r="G307" s="44" t="s">
        <v>577</v>
      </c>
      <c r="H307" t="str">
        <f t="shared" si="1"/>
        <v>P4_3_g1_name</v>
      </c>
      <c r="K307" t="s">
        <v>662</v>
      </c>
      <c r="L307" s="13"/>
    </row>
    <row r="308" spans="1:12" ht="16.350000000000001" customHeight="1" x14ac:dyDescent="0.45">
      <c r="A308" t="s">
        <v>126</v>
      </c>
      <c r="B308" t="s">
        <v>574</v>
      </c>
      <c r="C308" t="s">
        <v>575</v>
      </c>
      <c r="D308" t="s">
        <v>54</v>
      </c>
      <c r="E308">
        <v>3</v>
      </c>
      <c r="F308" t="s">
        <v>661</v>
      </c>
      <c r="G308" s="44" t="s">
        <v>580</v>
      </c>
      <c r="H308" t="str">
        <f t="shared" si="1"/>
        <v>P4_3_g2_name</v>
      </c>
      <c r="L308" s="13"/>
    </row>
    <row r="309" spans="1:12" ht="16.350000000000001" customHeight="1" x14ac:dyDescent="0.45">
      <c r="A309" t="s">
        <v>126</v>
      </c>
      <c r="B309" t="s">
        <v>574</v>
      </c>
      <c r="C309" t="s">
        <v>575</v>
      </c>
      <c r="D309" t="s">
        <v>54</v>
      </c>
      <c r="E309">
        <v>3</v>
      </c>
      <c r="F309" t="s">
        <v>661</v>
      </c>
      <c r="G309" s="45" t="s">
        <v>589</v>
      </c>
      <c r="H309" t="str">
        <f t="shared" si="1"/>
        <v>P4_3_g1_t1</v>
      </c>
      <c r="K309">
        <v>188.5</v>
      </c>
      <c r="L309" s="13"/>
    </row>
    <row r="310" spans="1:12" ht="16.350000000000001" customHeight="1" x14ac:dyDescent="0.45">
      <c r="A310" t="s">
        <v>126</v>
      </c>
      <c r="B310" t="s">
        <v>574</v>
      </c>
      <c r="C310" t="s">
        <v>575</v>
      </c>
      <c r="D310" t="s">
        <v>54</v>
      </c>
      <c r="E310">
        <v>3</v>
      </c>
      <c r="F310" t="s">
        <v>661</v>
      </c>
      <c r="G310" s="45" t="s">
        <v>590</v>
      </c>
      <c r="H310" t="str">
        <f t="shared" si="1"/>
        <v>P4_3_g1_m1</v>
      </c>
      <c r="K310">
        <v>20</v>
      </c>
      <c r="L310" s="13"/>
    </row>
    <row r="311" spans="1:12" ht="16.350000000000001" customHeight="1" x14ac:dyDescent="0.45">
      <c r="A311" t="s">
        <v>126</v>
      </c>
      <c r="B311" t="s">
        <v>574</v>
      </c>
      <c r="C311" t="s">
        <v>575</v>
      </c>
      <c r="D311" t="s">
        <v>54</v>
      </c>
      <c r="E311">
        <v>3</v>
      </c>
      <c r="F311" t="s">
        <v>661</v>
      </c>
      <c r="G311" s="45" t="s">
        <v>591</v>
      </c>
      <c r="H311" t="str">
        <f t="shared" si="1"/>
        <v>P4_3_g1_t2</v>
      </c>
      <c r="K311">
        <v>636.34</v>
      </c>
      <c r="L311" s="13"/>
    </row>
    <row r="312" spans="1:12" ht="16.350000000000001" customHeight="1" x14ac:dyDescent="0.45">
      <c r="A312" t="s">
        <v>126</v>
      </c>
      <c r="B312" t="s">
        <v>574</v>
      </c>
      <c r="C312" t="s">
        <v>575</v>
      </c>
      <c r="D312" t="s">
        <v>54</v>
      </c>
      <c r="E312">
        <v>3</v>
      </c>
      <c r="F312" t="s">
        <v>661</v>
      </c>
      <c r="G312" s="45" t="s">
        <v>592</v>
      </c>
      <c r="H312" t="str">
        <f t="shared" si="1"/>
        <v>P4_3_g1_m2</v>
      </c>
      <c r="K312">
        <v>40</v>
      </c>
      <c r="L312" s="13"/>
    </row>
    <row r="313" spans="1:12" ht="16.350000000000001" customHeight="1" x14ac:dyDescent="0.45">
      <c r="A313" t="s">
        <v>126</v>
      </c>
      <c r="B313" t="s">
        <v>574</v>
      </c>
      <c r="C313" t="s">
        <v>575</v>
      </c>
      <c r="D313" t="s">
        <v>54</v>
      </c>
      <c r="E313">
        <v>3</v>
      </c>
      <c r="F313" t="s">
        <v>661</v>
      </c>
      <c r="G313" s="45" t="s">
        <v>593</v>
      </c>
      <c r="H313" t="str">
        <f t="shared" si="1"/>
        <v>P4_3_g1_t3</v>
      </c>
      <c r="K313">
        <v>778.87</v>
      </c>
      <c r="L313" s="13"/>
    </row>
    <row r="314" spans="1:12" ht="16.350000000000001" customHeight="1" x14ac:dyDescent="0.45">
      <c r="A314" t="s">
        <v>126</v>
      </c>
      <c r="B314" t="s">
        <v>574</v>
      </c>
      <c r="C314" t="s">
        <v>575</v>
      </c>
      <c r="D314" t="s">
        <v>54</v>
      </c>
      <c r="E314">
        <v>3</v>
      </c>
      <c r="F314" t="s">
        <v>661</v>
      </c>
      <c r="G314" s="45" t="s">
        <v>594</v>
      </c>
      <c r="H314" t="str">
        <f t="shared" si="1"/>
        <v>P4_3_g1_m3</v>
      </c>
      <c r="L314" s="13"/>
    </row>
    <row r="315" spans="1:12" ht="16.350000000000001" customHeight="1" x14ac:dyDescent="0.45">
      <c r="A315" t="s">
        <v>126</v>
      </c>
      <c r="B315" t="s">
        <v>574</v>
      </c>
      <c r="C315" t="s">
        <v>575</v>
      </c>
      <c r="D315" t="s">
        <v>54</v>
      </c>
      <c r="E315">
        <v>3</v>
      </c>
      <c r="F315" t="s">
        <v>661</v>
      </c>
      <c r="G315" s="45" t="s">
        <v>595</v>
      </c>
      <c r="H315" t="str">
        <f t="shared" si="1"/>
        <v>P4_3_g1_t4</v>
      </c>
      <c r="L315" s="13"/>
    </row>
    <row r="316" spans="1:12" ht="16.350000000000001" customHeight="1" x14ac:dyDescent="0.45">
      <c r="A316" t="s">
        <v>126</v>
      </c>
      <c r="B316" t="s">
        <v>574</v>
      </c>
      <c r="C316" t="s">
        <v>575</v>
      </c>
      <c r="D316" t="s">
        <v>54</v>
      </c>
      <c r="E316">
        <v>3</v>
      </c>
      <c r="F316" t="s">
        <v>661</v>
      </c>
      <c r="G316" s="45" t="s">
        <v>596</v>
      </c>
      <c r="H316" t="str">
        <f t="shared" si="1"/>
        <v>P4_3_g1_m4</v>
      </c>
      <c r="L316" s="13"/>
    </row>
    <row r="317" spans="1:12" ht="16.350000000000001" customHeight="1" x14ac:dyDescent="0.45">
      <c r="A317" t="s">
        <v>126</v>
      </c>
      <c r="B317" t="s">
        <v>574</v>
      </c>
      <c r="C317" t="s">
        <v>575</v>
      </c>
      <c r="D317" t="s">
        <v>54</v>
      </c>
      <c r="E317">
        <v>3</v>
      </c>
      <c r="F317" t="s">
        <v>661</v>
      </c>
      <c r="G317" s="45" t="s">
        <v>597</v>
      </c>
      <c r="H317" t="str">
        <f t="shared" si="1"/>
        <v>P4_3_g1_t5</v>
      </c>
      <c r="L317" s="13"/>
    </row>
    <row r="318" spans="1:12" ht="16.350000000000001" customHeight="1" x14ac:dyDescent="0.45">
      <c r="A318" t="s">
        <v>126</v>
      </c>
      <c r="B318" t="s">
        <v>574</v>
      </c>
      <c r="C318" t="s">
        <v>575</v>
      </c>
      <c r="D318" t="s">
        <v>54</v>
      </c>
      <c r="E318">
        <v>3</v>
      </c>
      <c r="F318" t="s">
        <v>661</v>
      </c>
      <c r="G318" s="47" t="s">
        <v>598</v>
      </c>
      <c r="H318" t="str">
        <f t="shared" si="1"/>
        <v>P4_3_g2_t1</v>
      </c>
      <c r="L318" s="13"/>
    </row>
    <row r="319" spans="1:12" ht="16.350000000000001" customHeight="1" x14ac:dyDescent="0.45">
      <c r="A319" t="s">
        <v>126</v>
      </c>
      <c r="B319" t="s">
        <v>574</v>
      </c>
      <c r="C319" t="s">
        <v>575</v>
      </c>
      <c r="D319" t="s">
        <v>54</v>
      </c>
      <c r="E319">
        <v>3</v>
      </c>
      <c r="F319" t="s">
        <v>661</v>
      </c>
      <c r="G319" s="47" t="s">
        <v>599</v>
      </c>
      <c r="H319" t="str">
        <f t="shared" si="1"/>
        <v>P4_3_g2_m1</v>
      </c>
      <c r="L319" s="13"/>
    </row>
    <row r="320" spans="1:12" ht="16.350000000000001" customHeight="1" x14ac:dyDescent="0.45">
      <c r="A320" t="s">
        <v>126</v>
      </c>
      <c r="B320" t="s">
        <v>574</v>
      </c>
      <c r="C320" t="s">
        <v>575</v>
      </c>
      <c r="D320" t="s">
        <v>54</v>
      </c>
      <c r="E320">
        <v>3</v>
      </c>
      <c r="F320" t="s">
        <v>661</v>
      </c>
      <c r="G320" s="47" t="s">
        <v>600</v>
      </c>
      <c r="H320" t="str">
        <f t="shared" si="1"/>
        <v>P4_3_g2_t2</v>
      </c>
      <c r="L320" s="13"/>
    </row>
    <row r="321" spans="1:12" ht="16.350000000000001" customHeight="1" x14ac:dyDescent="0.45">
      <c r="A321" t="s">
        <v>126</v>
      </c>
      <c r="B321" t="s">
        <v>574</v>
      </c>
      <c r="C321" t="s">
        <v>575</v>
      </c>
      <c r="D321" t="s">
        <v>54</v>
      </c>
      <c r="E321">
        <v>3</v>
      </c>
      <c r="F321" t="s">
        <v>661</v>
      </c>
      <c r="G321" s="47" t="s">
        <v>601</v>
      </c>
      <c r="H321" t="str">
        <f t="shared" si="1"/>
        <v>P4_3_g2_m2</v>
      </c>
      <c r="L321" s="13"/>
    </row>
    <row r="322" spans="1:12" ht="16.350000000000001" customHeight="1" x14ac:dyDescent="0.45">
      <c r="A322" t="s">
        <v>126</v>
      </c>
      <c r="B322" t="s">
        <v>574</v>
      </c>
      <c r="C322" t="s">
        <v>575</v>
      </c>
      <c r="D322" t="s">
        <v>54</v>
      </c>
      <c r="E322">
        <v>3</v>
      </c>
      <c r="F322" t="s">
        <v>661</v>
      </c>
      <c r="G322" s="47" t="s">
        <v>602</v>
      </c>
      <c r="H322" t="str">
        <f t="shared" si="1"/>
        <v>P4_3_g2_t3</v>
      </c>
      <c r="L322" s="13"/>
    </row>
    <row r="323" spans="1:12" ht="16.350000000000001" customHeight="1" x14ac:dyDescent="0.45">
      <c r="A323" t="s">
        <v>126</v>
      </c>
      <c r="B323" t="s">
        <v>574</v>
      </c>
      <c r="C323" t="s">
        <v>575</v>
      </c>
      <c r="D323" t="s">
        <v>54</v>
      </c>
      <c r="E323">
        <v>3</v>
      </c>
      <c r="F323" t="s">
        <v>661</v>
      </c>
      <c r="G323" s="47" t="s">
        <v>603</v>
      </c>
      <c r="H323" t="str">
        <f t="shared" si="1"/>
        <v>P4_3_g2_m3</v>
      </c>
      <c r="L323" s="13"/>
    </row>
    <row r="324" spans="1:12" ht="16.350000000000001" customHeight="1" x14ac:dyDescent="0.45">
      <c r="A324" t="s">
        <v>126</v>
      </c>
      <c r="B324" t="s">
        <v>574</v>
      </c>
      <c r="C324" t="s">
        <v>575</v>
      </c>
      <c r="D324" t="s">
        <v>54</v>
      </c>
      <c r="E324">
        <v>3</v>
      </c>
      <c r="F324" t="s">
        <v>661</v>
      </c>
      <c r="G324" s="47" t="s">
        <v>604</v>
      </c>
      <c r="H324" t="str">
        <f t="shared" si="1"/>
        <v>P4_3_g2_t4</v>
      </c>
      <c r="L324" s="13"/>
    </row>
    <row r="325" spans="1:12" ht="16.350000000000001" customHeight="1" x14ac:dyDescent="0.45">
      <c r="A325" t="s">
        <v>126</v>
      </c>
      <c r="B325" t="s">
        <v>574</v>
      </c>
      <c r="C325" t="s">
        <v>575</v>
      </c>
      <c r="D325" t="s">
        <v>54</v>
      </c>
      <c r="E325">
        <v>3</v>
      </c>
      <c r="F325" t="s">
        <v>661</v>
      </c>
      <c r="G325" s="47" t="s">
        <v>605</v>
      </c>
      <c r="H325" t="str">
        <f t="shared" si="1"/>
        <v>P4_3_g2_m4</v>
      </c>
      <c r="L325" s="13"/>
    </row>
    <row r="326" spans="1:12" ht="16.350000000000001" customHeight="1" x14ac:dyDescent="0.45">
      <c r="A326" t="s">
        <v>126</v>
      </c>
      <c r="B326" t="s">
        <v>574</v>
      </c>
      <c r="C326" t="s">
        <v>575</v>
      </c>
      <c r="D326" t="s">
        <v>54</v>
      </c>
      <c r="E326">
        <v>3</v>
      </c>
      <c r="F326" t="s">
        <v>661</v>
      </c>
      <c r="G326" s="47" t="s">
        <v>606</v>
      </c>
      <c r="H326" t="str">
        <f t="shared" si="1"/>
        <v>P4_3_g2_t5</v>
      </c>
      <c r="L326" s="13"/>
    </row>
    <row r="327" spans="1:12" ht="16.350000000000001" customHeight="1" x14ac:dyDescent="0.45">
      <c r="A327" t="s">
        <v>126</v>
      </c>
      <c r="B327" t="s">
        <v>574</v>
      </c>
      <c r="C327" t="s">
        <v>575</v>
      </c>
      <c r="D327" t="s">
        <v>54</v>
      </c>
      <c r="E327">
        <v>3</v>
      </c>
      <c r="F327" t="s">
        <v>661</v>
      </c>
      <c r="G327" s="51" t="s">
        <v>634</v>
      </c>
      <c r="H327" t="str">
        <f t="shared" si="1"/>
        <v>P4_3_cost_dom</v>
      </c>
      <c r="K327">
        <v>636.34</v>
      </c>
      <c r="L327" s="13"/>
    </row>
    <row r="328" spans="1:12" ht="16.350000000000001" customHeight="1" x14ac:dyDescent="0.45">
      <c r="A328" t="s">
        <v>126</v>
      </c>
      <c r="B328" t="s">
        <v>574</v>
      </c>
      <c r="C328" t="s">
        <v>575</v>
      </c>
      <c r="D328" t="s">
        <v>54</v>
      </c>
      <c r="E328">
        <v>3</v>
      </c>
      <c r="F328" t="s">
        <v>661</v>
      </c>
      <c r="G328" s="51" t="s">
        <v>635</v>
      </c>
      <c r="H328" t="str">
        <f t="shared" si="1"/>
        <v>P4_3_cost_prof</v>
      </c>
      <c r="K328">
        <v>636.34</v>
      </c>
      <c r="L328" s="13"/>
    </row>
    <row r="329" spans="1:12" ht="16.350000000000001" customHeight="1" x14ac:dyDescent="0.45">
      <c r="A329" t="s">
        <v>126</v>
      </c>
      <c r="B329" t="s">
        <v>574</v>
      </c>
      <c r="C329" t="s">
        <v>575</v>
      </c>
      <c r="D329" t="s">
        <v>54</v>
      </c>
      <c r="E329">
        <v>3</v>
      </c>
      <c r="F329" t="s">
        <v>661</v>
      </c>
      <c r="G329" s="51" t="s">
        <v>636</v>
      </c>
      <c r="H329" t="str">
        <f t="shared" si="1"/>
        <v>P4_3_tprof</v>
      </c>
      <c r="K329">
        <v>636.34</v>
      </c>
      <c r="L329" s="13"/>
    </row>
    <row r="330" spans="1:12" ht="16.350000000000001" customHeight="1" x14ac:dyDescent="0.45">
      <c r="A330" t="s">
        <v>126</v>
      </c>
      <c r="B330" t="s">
        <v>574</v>
      </c>
      <c r="C330" t="s">
        <v>575</v>
      </c>
      <c r="D330" t="s">
        <v>54</v>
      </c>
      <c r="E330">
        <v>3</v>
      </c>
      <c r="F330" t="s">
        <v>661</v>
      </c>
      <c r="G330" s="51" t="s">
        <v>637</v>
      </c>
      <c r="H330" t="str">
        <f t="shared" si="1"/>
        <v>P4_3_block_tariffs</v>
      </c>
      <c r="K330">
        <v>0</v>
      </c>
      <c r="L330" s="13"/>
    </row>
    <row r="331" spans="1:12" ht="16.350000000000001" customHeight="1" x14ac:dyDescent="0.45">
      <c r="A331" t="s">
        <v>126</v>
      </c>
      <c r="B331" t="s">
        <v>574</v>
      </c>
      <c r="C331" t="s">
        <v>575</v>
      </c>
      <c r="D331" t="s">
        <v>54</v>
      </c>
      <c r="E331">
        <v>3</v>
      </c>
      <c r="F331" t="s">
        <v>661</v>
      </c>
      <c r="G331" s="51" t="s">
        <v>638</v>
      </c>
      <c r="H331" t="str">
        <f t="shared" si="1"/>
        <v>P4_3_t_noVAT</v>
      </c>
      <c r="K331">
        <v>2</v>
      </c>
      <c r="L331" s="13"/>
    </row>
    <row r="332" spans="1:12" ht="16.350000000000001" customHeight="1" x14ac:dyDescent="0.45">
      <c r="A332" t="s">
        <v>126</v>
      </c>
      <c r="B332" t="s">
        <v>574</v>
      </c>
      <c r="C332" t="s">
        <v>575</v>
      </c>
      <c r="D332" t="s">
        <v>54</v>
      </c>
      <c r="E332">
        <v>3</v>
      </c>
      <c r="F332" t="s">
        <v>661</v>
      </c>
      <c r="G332" s="51" t="s">
        <v>639</v>
      </c>
      <c r="H332" t="str">
        <f t="shared" si="1"/>
        <v>P4_3_allcons_VAT</v>
      </c>
      <c r="K332">
        <v>0</v>
      </c>
      <c r="L332" s="13"/>
    </row>
    <row r="333" spans="1:12" ht="16.350000000000001" customHeight="1" x14ac:dyDescent="0.45">
      <c r="A333" s="56" t="s">
        <v>126</v>
      </c>
      <c r="B333" s="56" t="s">
        <v>574</v>
      </c>
      <c r="C333" t="s">
        <v>575</v>
      </c>
      <c r="D333" s="56" t="s">
        <v>54</v>
      </c>
      <c r="E333" s="56">
        <v>4</v>
      </c>
      <c r="F333" s="56" t="s">
        <v>663</v>
      </c>
      <c r="G333" s="57" t="s">
        <v>577</v>
      </c>
      <c r="H333" t="str">
        <f>_xlfn.CONCAT(C333, "_", E333, "_", G333)</f>
        <v>P4_4_g1_name</v>
      </c>
      <c r="K333" t="s">
        <v>664</v>
      </c>
      <c r="L333" s="13"/>
    </row>
    <row r="334" spans="1:12" ht="16.350000000000001" customHeight="1" x14ac:dyDescent="0.45">
      <c r="A334" s="56" t="s">
        <v>126</v>
      </c>
      <c r="B334" s="56" t="s">
        <v>574</v>
      </c>
      <c r="C334" t="s">
        <v>575</v>
      </c>
      <c r="D334" s="56" t="s">
        <v>54</v>
      </c>
      <c r="E334" s="56">
        <v>4</v>
      </c>
      <c r="F334" s="56" t="s">
        <v>663</v>
      </c>
      <c r="G334" s="57" t="s">
        <v>665</v>
      </c>
      <c r="H334" t="str">
        <f>_xlfn.CONCAT(C334, "_", E334, "_", G334)</f>
        <v>P4_4_g1_subsidy</v>
      </c>
      <c r="K334">
        <v>155.268</v>
      </c>
      <c r="L334" s="13"/>
    </row>
    <row r="335" spans="1:12" ht="16.350000000000001" customHeight="1" x14ac:dyDescent="0.45">
      <c r="A335" s="56" t="s">
        <v>126</v>
      </c>
      <c r="B335" s="56" t="s">
        <v>574</v>
      </c>
      <c r="C335" t="s">
        <v>575</v>
      </c>
      <c r="D335" s="56" t="s">
        <v>54</v>
      </c>
      <c r="E335" s="56">
        <v>4</v>
      </c>
      <c r="F335" s="56" t="s">
        <v>663</v>
      </c>
      <c r="G335" s="57" t="s">
        <v>666</v>
      </c>
      <c r="H335" t="str">
        <f>_xlfn.CONCAT(C335, "_", E335, "_", G335)</f>
        <v>P4_4_g1_target</v>
      </c>
      <c r="K335">
        <v>75000000</v>
      </c>
      <c r="L335" s="13"/>
    </row>
    <row r="336" spans="1:12" ht="16.350000000000001" customHeight="1" x14ac:dyDescent="0.45">
      <c r="A336" s="56" t="s">
        <v>126</v>
      </c>
      <c r="B336" s="56" t="s">
        <v>574</v>
      </c>
      <c r="C336" t="s">
        <v>575</v>
      </c>
      <c r="D336" s="56" t="s">
        <v>54</v>
      </c>
      <c r="E336" s="56">
        <v>4</v>
      </c>
      <c r="F336" s="56" t="s">
        <v>663</v>
      </c>
      <c r="G336" s="57" t="s">
        <v>580</v>
      </c>
      <c r="H336" t="str">
        <f>_xlfn.CONCAT(C336, "_", E336, "_", G336)</f>
        <v>P4_4_g2_name</v>
      </c>
      <c r="K336" t="s">
        <v>667</v>
      </c>
      <c r="L336" s="13"/>
    </row>
    <row r="337" spans="1:12" ht="16.350000000000001" customHeight="1" x14ac:dyDescent="0.45">
      <c r="A337" s="56" t="s">
        <v>126</v>
      </c>
      <c r="B337" s="56" t="s">
        <v>574</v>
      </c>
      <c r="C337" t="s">
        <v>575</v>
      </c>
      <c r="D337" s="56" t="s">
        <v>54</v>
      </c>
      <c r="E337" s="56">
        <v>4</v>
      </c>
      <c r="F337" s="56" t="s">
        <v>663</v>
      </c>
      <c r="G337" s="57" t="s">
        <v>668</v>
      </c>
      <c r="H337" t="str">
        <f t="shared" ref="H337:H369" si="2">_xlfn.CONCAT(C337, "_", E337, "_", G337)</f>
        <v>P4_4_g2_subsidy</v>
      </c>
      <c r="K337">
        <v>174.9</v>
      </c>
      <c r="L337" s="13"/>
    </row>
    <row r="338" spans="1:12" ht="16.350000000000001" customHeight="1" x14ac:dyDescent="0.45">
      <c r="A338" s="56" t="s">
        <v>126</v>
      </c>
      <c r="B338" s="56" t="s">
        <v>574</v>
      </c>
      <c r="C338" t="s">
        <v>575</v>
      </c>
      <c r="D338" s="56" t="s">
        <v>54</v>
      </c>
      <c r="E338" s="56">
        <v>4</v>
      </c>
      <c r="F338" s="56" t="s">
        <v>663</v>
      </c>
      <c r="G338" s="57" t="s">
        <v>669</v>
      </c>
      <c r="H338" t="str">
        <f t="shared" si="2"/>
        <v>P4_4_g2_target</v>
      </c>
      <c r="K338">
        <v>12000000</v>
      </c>
      <c r="L338" s="13"/>
    </row>
    <row r="339" spans="1:12" ht="16.350000000000001" customHeight="1" x14ac:dyDescent="0.45">
      <c r="A339" s="56" t="s">
        <v>126</v>
      </c>
      <c r="B339" s="56" t="s">
        <v>574</v>
      </c>
      <c r="C339" t="s">
        <v>575</v>
      </c>
      <c r="D339" s="56" t="s">
        <v>54</v>
      </c>
      <c r="E339" s="56">
        <v>4</v>
      </c>
      <c r="F339" s="56" t="s">
        <v>663</v>
      </c>
      <c r="G339" s="57" t="s">
        <v>583</v>
      </c>
      <c r="H339" t="str">
        <f t="shared" si="2"/>
        <v>P4_4_g3_name</v>
      </c>
      <c r="K339" t="s">
        <v>670</v>
      </c>
      <c r="L339" s="13"/>
    </row>
    <row r="340" spans="1:12" ht="16.350000000000001" customHeight="1" x14ac:dyDescent="0.45">
      <c r="A340" s="56" t="s">
        <v>126</v>
      </c>
      <c r="B340" s="56" t="s">
        <v>574</v>
      </c>
      <c r="C340" t="s">
        <v>575</v>
      </c>
      <c r="D340" s="56" t="s">
        <v>54</v>
      </c>
      <c r="E340" s="56">
        <v>4</v>
      </c>
      <c r="F340" s="56" t="s">
        <v>663</v>
      </c>
      <c r="G340" s="57" t="s">
        <v>671</v>
      </c>
      <c r="H340" t="str">
        <f t="shared" si="2"/>
        <v>P4_4_g3_subsidy</v>
      </c>
      <c r="K340">
        <v>158.125</v>
      </c>
      <c r="L340" s="13"/>
    </row>
    <row r="341" spans="1:12" ht="16.350000000000001" customHeight="1" x14ac:dyDescent="0.45">
      <c r="A341" s="56" t="s">
        <v>126</v>
      </c>
      <c r="B341" s="56" t="s">
        <v>574</v>
      </c>
      <c r="C341" t="s">
        <v>575</v>
      </c>
      <c r="D341" s="56" t="s">
        <v>54</v>
      </c>
      <c r="E341" s="56">
        <v>4</v>
      </c>
      <c r="F341" s="56" t="s">
        <v>663</v>
      </c>
      <c r="G341" s="57" t="s">
        <v>672</v>
      </c>
      <c r="H341" t="str">
        <f t="shared" si="2"/>
        <v>P4_4_g3_target</v>
      </c>
      <c r="K341">
        <v>63000000</v>
      </c>
      <c r="L341" s="13"/>
    </row>
    <row r="342" spans="1:12" ht="16.350000000000001" customHeight="1" x14ac:dyDescent="0.45">
      <c r="A342" s="56" t="s">
        <v>126</v>
      </c>
      <c r="B342" s="56" t="s">
        <v>574</v>
      </c>
      <c r="C342" t="s">
        <v>575</v>
      </c>
      <c r="D342" s="56" t="s">
        <v>54</v>
      </c>
      <c r="E342" s="56">
        <v>4</v>
      </c>
      <c r="F342" s="56" t="s">
        <v>663</v>
      </c>
      <c r="G342" s="57" t="s">
        <v>585</v>
      </c>
      <c r="H342" t="str">
        <f t="shared" si="2"/>
        <v>P4_4_g4_name</v>
      </c>
      <c r="K342" t="s">
        <v>673</v>
      </c>
      <c r="L342" s="13"/>
    </row>
    <row r="343" spans="1:12" ht="16.350000000000001" customHeight="1" x14ac:dyDescent="0.45">
      <c r="A343" s="56" t="s">
        <v>126</v>
      </c>
      <c r="B343" s="56" t="s">
        <v>574</v>
      </c>
      <c r="C343" t="s">
        <v>575</v>
      </c>
      <c r="D343" s="56" t="s">
        <v>54</v>
      </c>
      <c r="E343" s="56">
        <v>4</v>
      </c>
      <c r="F343" s="56" t="s">
        <v>663</v>
      </c>
      <c r="G343" s="57" t="s">
        <v>674</v>
      </c>
      <c r="H343" t="str">
        <f t="shared" si="2"/>
        <v>P4_4_g4_subsidy</v>
      </c>
      <c r="K343">
        <v>209.96391006779055</v>
      </c>
      <c r="L343" s="13"/>
    </row>
    <row r="344" spans="1:12" ht="16.350000000000001" customHeight="1" x14ac:dyDescent="0.45">
      <c r="A344" s="56" t="s">
        <v>126</v>
      </c>
      <c r="B344" s="56" t="s">
        <v>574</v>
      </c>
      <c r="C344" t="s">
        <v>575</v>
      </c>
      <c r="D344" s="56" t="s">
        <v>54</v>
      </c>
      <c r="E344" s="56">
        <v>4</v>
      </c>
      <c r="F344" s="56" t="s">
        <v>663</v>
      </c>
      <c r="G344" s="57" t="s">
        <v>675</v>
      </c>
      <c r="H344" t="str">
        <f t="shared" si="2"/>
        <v>P4_4_g4_target</v>
      </c>
      <c r="K344">
        <v>70513000</v>
      </c>
      <c r="L344" s="13"/>
    </row>
    <row r="345" spans="1:12" ht="16.350000000000001" customHeight="1" x14ac:dyDescent="0.45">
      <c r="A345" s="56" t="s">
        <v>126</v>
      </c>
      <c r="B345" s="56" t="s">
        <v>574</v>
      </c>
      <c r="C345" t="s">
        <v>575</v>
      </c>
      <c r="D345" s="56" t="s">
        <v>54</v>
      </c>
      <c r="E345" s="56">
        <v>4</v>
      </c>
      <c r="F345" s="56" t="s">
        <v>663</v>
      </c>
      <c r="G345" s="57" t="s">
        <v>587</v>
      </c>
      <c r="H345" t="str">
        <f t="shared" si="2"/>
        <v>P4_4_g5_name</v>
      </c>
      <c r="K345" t="s">
        <v>676</v>
      </c>
      <c r="L345" s="13"/>
    </row>
    <row r="346" spans="1:12" ht="16.350000000000001" customHeight="1" x14ac:dyDescent="0.45">
      <c r="A346" s="56" t="s">
        <v>126</v>
      </c>
      <c r="B346" s="56" t="s">
        <v>574</v>
      </c>
      <c r="C346" t="s">
        <v>575</v>
      </c>
      <c r="D346" s="56" t="s">
        <v>54</v>
      </c>
      <c r="E346" s="56">
        <v>4</v>
      </c>
      <c r="F346" s="56" t="s">
        <v>663</v>
      </c>
      <c r="G346" s="57" t="s">
        <v>677</v>
      </c>
      <c r="H346" t="str">
        <f t="shared" si="2"/>
        <v>P4_4_g5_subsidy</v>
      </c>
      <c r="K346">
        <v>200</v>
      </c>
      <c r="L346" s="13"/>
    </row>
    <row r="347" spans="1:12" ht="16.350000000000001" customHeight="1" x14ac:dyDescent="0.45">
      <c r="A347" s="56" t="s">
        <v>126</v>
      </c>
      <c r="B347" s="56" t="s">
        <v>574</v>
      </c>
      <c r="C347" t="s">
        <v>575</v>
      </c>
      <c r="D347" s="56" t="s">
        <v>54</v>
      </c>
      <c r="E347" s="56">
        <v>4</v>
      </c>
      <c r="F347" s="56" t="s">
        <v>663</v>
      </c>
      <c r="G347" s="57" t="s">
        <v>678</v>
      </c>
      <c r="H347" t="str">
        <f t="shared" si="2"/>
        <v>P4_4_g5_target</v>
      </c>
      <c r="K347">
        <v>1500000</v>
      </c>
      <c r="L347" s="13"/>
    </row>
    <row r="348" spans="1:12" ht="16.350000000000001" customHeight="1" x14ac:dyDescent="0.45">
      <c r="A348" s="56" t="s">
        <v>126</v>
      </c>
      <c r="B348" s="56" t="s">
        <v>574</v>
      </c>
      <c r="C348" t="s">
        <v>575</v>
      </c>
      <c r="D348" s="56" t="s">
        <v>54</v>
      </c>
      <c r="E348" s="56">
        <v>4</v>
      </c>
      <c r="F348" s="56" t="s">
        <v>663</v>
      </c>
      <c r="G348" s="57" t="s">
        <v>679</v>
      </c>
      <c r="H348" t="str">
        <f t="shared" si="2"/>
        <v>P4_4_g6_name</v>
      </c>
      <c r="K348" t="s">
        <v>680</v>
      </c>
      <c r="L348" s="13"/>
    </row>
    <row r="349" spans="1:12" ht="16.350000000000001" customHeight="1" x14ac:dyDescent="0.45">
      <c r="A349" s="56" t="s">
        <v>126</v>
      </c>
      <c r="B349" s="56" t="s">
        <v>574</v>
      </c>
      <c r="C349" t="s">
        <v>575</v>
      </c>
      <c r="D349" s="56" t="s">
        <v>54</v>
      </c>
      <c r="E349" s="56">
        <v>4</v>
      </c>
      <c r="F349" s="56" t="s">
        <v>663</v>
      </c>
      <c r="G349" s="57" t="s">
        <v>681</v>
      </c>
      <c r="H349" t="str">
        <f t="shared" si="2"/>
        <v>P4_4_g6_subsidy</v>
      </c>
      <c r="K349">
        <v>200</v>
      </c>
      <c r="L349" s="13"/>
    </row>
    <row r="350" spans="1:12" ht="16.350000000000001" customHeight="1" x14ac:dyDescent="0.45">
      <c r="A350" s="56" t="s">
        <v>126</v>
      </c>
      <c r="B350" s="56" t="s">
        <v>574</v>
      </c>
      <c r="C350" t="s">
        <v>575</v>
      </c>
      <c r="D350" s="56" t="s">
        <v>54</v>
      </c>
      <c r="E350" s="56">
        <v>4</v>
      </c>
      <c r="F350" s="56" t="s">
        <v>663</v>
      </c>
      <c r="G350" s="57" t="s">
        <v>682</v>
      </c>
      <c r="H350" t="str">
        <f t="shared" si="2"/>
        <v>P4_4_g6_target</v>
      </c>
      <c r="K350">
        <v>3000000</v>
      </c>
      <c r="L350" s="13"/>
    </row>
    <row r="351" spans="1:12" ht="16.350000000000001" customHeight="1" x14ac:dyDescent="0.45">
      <c r="A351" s="56" t="s">
        <v>126</v>
      </c>
      <c r="B351" s="56" t="s">
        <v>574</v>
      </c>
      <c r="C351" t="s">
        <v>575</v>
      </c>
      <c r="D351" s="56" t="s">
        <v>54</v>
      </c>
      <c r="E351" s="56">
        <v>4</v>
      </c>
      <c r="F351" s="56" t="s">
        <v>663</v>
      </c>
      <c r="G351" s="57" t="s">
        <v>683</v>
      </c>
      <c r="H351" t="str">
        <f t="shared" si="2"/>
        <v>P4_4_g7_name</v>
      </c>
      <c r="K351" t="s">
        <v>684</v>
      </c>
      <c r="L351" s="13"/>
    </row>
    <row r="352" spans="1:12" ht="16.350000000000001" customHeight="1" x14ac:dyDescent="0.45">
      <c r="A352" s="56" t="s">
        <v>126</v>
      </c>
      <c r="B352" s="56" t="s">
        <v>574</v>
      </c>
      <c r="C352" t="s">
        <v>575</v>
      </c>
      <c r="D352" s="56" t="s">
        <v>54</v>
      </c>
      <c r="E352" s="56">
        <v>4</v>
      </c>
      <c r="F352" s="56" t="s">
        <v>663</v>
      </c>
      <c r="G352" s="57" t="s">
        <v>685</v>
      </c>
      <c r="H352" t="str">
        <f t="shared" si="2"/>
        <v>P4_4_g7_subsidy</v>
      </c>
      <c r="K352">
        <v>330.33333333333331</v>
      </c>
      <c r="L352" s="13"/>
    </row>
    <row r="353" spans="1:12" ht="16.350000000000001" customHeight="1" x14ac:dyDescent="0.45">
      <c r="A353" s="56" t="s">
        <v>126</v>
      </c>
      <c r="B353" s="56" t="s">
        <v>574</v>
      </c>
      <c r="C353" t="s">
        <v>575</v>
      </c>
      <c r="D353" s="56" t="s">
        <v>54</v>
      </c>
      <c r="E353" s="56">
        <v>4</v>
      </c>
      <c r="F353" s="56" t="s">
        <v>663</v>
      </c>
      <c r="G353" s="57" t="s">
        <v>686</v>
      </c>
      <c r="H353" t="str">
        <f t="shared" si="2"/>
        <v>P4_4_g7_target</v>
      </c>
      <c r="J353" s="6"/>
      <c r="K353">
        <v>15000000</v>
      </c>
      <c r="L353" s="13"/>
    </row>
    <row r="354" spans="1:12" ht="16.350000000000001" customHeight="1" x14ac:dyDescent="0.45">
      <c r="A354" s="56" t="s">
        <v>126</v>
      </c>
      <c r="B354" s="56" t="s">
        <v>574</v>
      </c>
      <c r="C354" t="s">
        <v>575</v>
      </c>
      <c r="D354" s="56" t="s">
        <v>54</v>
      </c>
      <c r="E354" s="56">
        <v>4</v>
      </c>
      <c r="F354" s="56" t="s">
        <v>663</v>
      </c>
      <c r="G354" s="57" t="s">
        <v>687</v>
      </c>
      <c r="H354" t="str">
        <f t="shared" si="2"/>
        <v>P4_4_g8_name</v>
      </c>
      <c r="J354" s="6"/>
      <c r="K354" t="s">
        <v>688</v>
      </c>
      <c r="L354" s="13"/>
    </row>
    <row r="355" spans="1:12" ht="16.350000000000001" customHeight="1" x14ac:dyDescent="0.45">
      <c r="A355" s="56" t="s">
        <v>126</v>
      </c>
      <c r="B355" s="56" t="s">
        <v>574</v>
      </c>
      <c r="C355" t="s">
        <v>575</v>
      </c>
      <c r="D355" s="56" t="s">
        <v>54</v>
      </c>
      <c r="E355" s="56">
        <v>4</v>
      </c>
      <c r="F355" s="56" t="s">
        <v>663</v>
      </c>
      <c r="G355" s="57" t="s">
        <v>689</v>
      </c>
      <c r="H355" t="str">
        <f t="shared" si="2"/>
        <v>P4_4_g8_subsidy</v>
      </c>
      <c r="J355" s="6"/>
      <c r="K355">
        <v>400</v>
      </c>
      <c r="L355" s="13"/>
    </row>
    <row r="356" spans="1:12" ht="16.350000000000001" customHeight="1" x14ac:dyDescent="0.45">
      <c r="A356" s="56" t="s">
        <v>126</v>
      </c>
      <c r="B356" s="56" t="s">
        <v>574</v>
      </c>
      <c r="C356" t="s">
        <v>575</v>
      </c>
      <c r="D356" s="56" t="s">
        <v>54</v>
      </c>
      <c r="E356" s="56">
        <v>4</v>
      </c>
      <c r="F356" s="56" t="s">
        <v>663</v>
      </c>
      <c r="G356" s="57" t="s">
        <v>690</v>
      </c>
      <c r="H356" t="str">
        <f t="shared" si="2"/>
        <v>P4_4_g8_target</v>
      </c>
      <c r="J356" s="6"/>
      <c r="K356">
        <v>700000</v>
      </c>
      <c r="L356" s="13"/>
    </row>
    <row r="357" spans="1:12" ht="16.350000000000001" customHeight="1" x14ac:dyDescent="0.45">
      <c r="A357" s="56" t="s">
        <v>126</v>
      </c>
      <c r="B357" s="56" t="s">
        <v>574</v>
      </c>
      <c r="C357" t="s">
        <v>575</v>
      </c>
      <c r="D357" s="56" t="s">
        <v>54</v>
      </c>
      <c r="E357" s="56">
        <v>4</v>
      </c>
      <c r="F357" s="56" t="s">
        <v>663</v>
      </c>
      <c r="G357" s="57" t="s">
        <v>691</v>
      </c>
      <c r="H357" t="str">
        <f t="shared" si="2"/>
        <v>P4_4_g9_name</v>
      </c>
      <c r="J357" s="6"/>
      <c r="K357" t="s">
        <v>692</v>
      </c>
      <c r="L357" s="13"/>
    </row>
    <row r="358" spans="1:12" ht="16.350000000000001" customHeight="1" x14ac:dyDescent="0.45">
      <c r="A358" s="56" t="s">
        <v>126</v>
      </c>
      <c r="B358" s="56" t="s">
        <v>574</v>
      </c>
      <c r="C358" t="s">
        <v>575</v>
      </c>
      <c r="D358" s="56" t="s">
        <v>54</v>
      </c>
      <c r="E358" s="56">
        <v>4</v>
      </c>
      <c r="F358" s="56" t="s">
        <v>663</v>
      </c>
      <c r="G358" s="57" t="s">
        <v>693</v>
      </c>
      <c r="H358" t="str">
        <f t="shared" si="2"/>
        <v>P4_4_g9_subsidy</v>
      </c>
      <c r="J358" s="6"/>
      <c r="K358">
        <v>415</v>
      </c>
      <c r="L358" s="13"/>
    </row>
    <row r="359" spans="1:12" ht="16.350000000000001" customHeight="1" x14ac:dyDescent="0.45">
      <c r="A359" s="56" t="s">
        <v>126</v>
      </c>
      <c r="B359" s="56" t="s">
        <v>574</v>
      </c>
      <c r="C359" t="s">
        <v>575</v>
      </c>
      <c r="D359" s="56" t="s">
        <v>54</v>
      </c>
      <c r="E359" s="56">
        <v>4</v>
      </c>
      <c r="F359" s="56" t="s">
        <v>663</v>
      </c>
      <c r="G359" s="57" t="s">
        <v>694</v>
      </c>
      <c r="H359" t="str">
        <f t="shared" si="2"/>
        <v>P4_4_g9_target</v>
      </c>
      <c r="J359" s="6"/>
      <c r="K359">
        <v>10000000</v>
      </c>
      <c r="L359" s="13"/>
    </row>
    <row r="360" spans="1:12" ht="16.350000000000001" customHeight="1" x14ac:dyDescent="0.45">
      <c r="A360" s="56" t="s">
        <v>126</v>
      </c>
      <c r="B360" s="56" t="s">
        <v>574</v>
      </c>
      <c r="C360" t="s">
        <v>575</v>
      </c>
      <c r="D360" s="56" t="s">
        <v>54</v>
      </c>
      <c r="E360" s="56">
        <v>4</v>
      </c>
      <c r="F360" s="56" t="s">
        <v>663</v>
      </c>
      <c r="G360" s="57" t="s">
        <v>695</v>
      </c>
      <c r="H360" t="str">
        <f t="shared" si="2"/>
        <v>P4_4_g10_name</v>
      </c>
      <c r="J360" s="6"/>
      <c r="K360" t="s">
        <v>696</v>
      </c>
      <c r="L360" s="13"/>
    </row>
    <row r="361" spans="1:12" ht="16.350000000000001" customHeight="1" x14ac:dyDescent="0.45">
      <c r="A361" s="56" t="s">
        <v>126</v>
      </c>
      <c r="B361" s="56" t="s">
        <v>574</v>
      </c>
      <c r="C361" t="s">
        <v>575</v>
      </c>
      <c r="D361" s="56" t="s">
        <v>54</v>
      </c>
      <c r="E361" s="56">
        <v>4</v>
      </c>
      <c r="F361" s="56" t="s">
        <v>663</v>
      </c>
      <c r="G361" s="57" t="s">
        <v>697</v>
      </c>
      <c r="H361" t="str">
        <f t="shared" si="2"/>
        <v>P4_4_g10_subsidy</v>
      </c>
      <c r="J361" s="6"/>
      <c r="K361">
        <v>13</v>
      </c>
      <c r="L361" s="13"/>
    </row>
    <row r="362" spans="1:12" ht="16.350000000000001" customHeight="1" x14ac:dyDescent="0.45">
      <c r="A362" s="56" t="s">
        <v>126</v>
      </c>
      <c r="B362" s="56" t="s">
        <v>574</v>
      </c>
      <c r="C362" t="s">
        <v>575</v>
      </c>
      <c r="D362" s="56" t="s">
        <v>54</v>
      </c>
      <c r="E362" s="56">
        <v>4</v>
      </c>
      <c r="F362" s="56" t="s">
        <v>663</v>
      </c>
      <c r="G362" s="57" t="s">
        <v>698</v>
      </c>
      <c r="H362" t="str">
        <f t="shared" si="2"/>
        <v>P4_4_g10_target</v>
      </c>
      <c r="J362" s="6"/>
      <c r="K362">
        <v>100000000</v>
      </c>
      <c r="L362" s="13"/>
    </row>
    <row r="363" spans="1:12" ht="16.350000000000001" customHeight="1" x14ac:dyDescent="0.45">
      <c r="A363" s="56" t="s">
        <v>126</v>
      </c>
      <c r="B363" s="56" t="s">
        <v>574</v>
      </c>
      <c r="C363" t="s">
        <v>575</v>
      </c>
      <c r="D363" s="56" t="s">
        <v>54</v>
      </c>
      <c r="E363" s="56">
        <v>4</v>
      </c>
      <c r="F363" s="56" t="s">
        <v>663</v>
      </c>
      <c r="G363" s="57" t="s">
        <v>699</v>
      </c>
      <c r="H363" t="str">
        <f t="shared" si="2"/>
        <v>P4_4_g11_name</v>
      </c>
      <c r="J363" s="6"/>
      <c r="K363" t="s">
        <v>700</v>
      </c>
      <c r="L363" s="13"/>
    </row>
    <row r="364" spans="1:12" ht="16.350000000000001" customHeight="1" x14ac:dyDescent="0.45">
      <c r="A364" s="56" t="s">
        <v>126</v>
      </c>
      <c r="B364" s="56" t="s">
        <v>574</v>
      </c>
      <c r="C364" t="s">
        <v>575</v>
      </c>
      <c r="D364" s="56" t="s">
        <v>54</v>
      </c>
      <c r="E364" s="56">
        <v>4</v>
      </c>
      <c r="F364" s="56" t="s">
        <v>663</v>
      </c>
      <c r="G364" s="57" t="s">
        <v>701</v>
      </c>
      <c r="H364" t="str">
        <f t="shared" si="2"/>
        <v>P4_4_g11_subsidy</v>
      </c>
      <c r="J364" s="6"/>
      <c r="K364">
        <v>20000</v>
      </c>
      <c r="L364" s="13"/>
    </row>
    <row r="365" spans="1:12" ht="16.350000000000001" customHeight="1" x14ac:dyDescent="0.45">
      <c r="A365" s="56" t="s">
        <v>126</v>
      </c>
      <c r="B365" s="56" t="s">
        <v>574</v>
      </c>
      <c r="C365" t="s">
        <v>575</v>
      </c>
      <c r="D365" s="56" t="s">
        <v>54</v>
      </c>
      <c r="E365" s="56">
        <v>4</v>
      </c>
      <c r="F365" s="56" t="s">
        <v>663</v>
      </c>
      <c r="G365" s="57" t="s">
        <v>702</v>
      </c>
      <c r="H365" t="str">
        <f t="shared" si="2"/>
        <v>P4_4_g11_target</v>
      </c>
      <c r="J365" s="6"/>
      <c r="K365">
        <v>20000</v>
      </c>
      <c r="L365" s="13"/>
    </row>
    <row r="366" spans="1:12" ht="16.350000000000001" customHeight="1" x14ac:dyDescent="0.45">
      <c r="A366" s="56" t="s">
        <v>126</v>
      </c>
      <c r="B366" s="56" t="s">
        <v>574</v>
      </c>
      <c r="C366" t="s">
        <v>575</v>
      </c>
      <c r="D366" s="56" t="s">
        <v>54</v>
      </c>
      <c r="E366" s="56">
        <v>4</v>
      </c>
      <c r="F366" s="56" t="s">
        <v>663</v>
      </c>
      <c r="G366" s="57" t="s">
        <v>703</v>
      </c>
      <c r="H366" t="str">
        <f t="shared" si="2"/>
        <v>P4_4_g12_name</v>
      </c>
      <c r="J366" s="6"/>
      <c r="K366" s="6"/>
      <c r="L366" s="13"/>
    </row>
    <row r="367" spans="1:12" ht="16.350000000000001" customHeight="1" x14ac:dyDescent="0.45">
      <c r="A367" s="56" t="s">
        <v>126</v>
      </c>
      <c r="B367" s="56" t="s">
        <v>574</v>
      </c>
      <c r="C367" t="s">
        <v>575</v>
      </c>
      <c r="D367" s="56" t="s">
        <v>54</v>
      </c>
      <c r="E367" s="56">
        <v>4</v>
      </c>
      <c r="F367" s="56" t="s">
        <v>663</v>
      </c>
      <c r="G367" s="57" t="s">
        <v>704</v>
      </c>
      <c r="H367" t="str">
        <f t="shared" si="2"/>
        <v>P4_4_g12_subsidy</v>
      </c>
      <c r="J367" s="6"/>
      <c r="K367" s="6"/>
      <c r="L367" s="13"/>
    </row>
    <row r="368" spans="1:12" ht="16.350000000000001" customHeight="1" x14ac:dyDescent="0.45">
      <c r="A368" s="56" t="s">
        <v>126</v>
      </c>
      <c r="B368" s="56" t="s">
        <v>574</v>
      </c>
      <c r="C368" t="s">
        <v>575</v>
      </c>
      <c r="D368" s="56" t="s">
        <v>54</v>
      </c>
      <c r="E368" s="56">
        <v>4</v>
      </c>
      <c r="F368" s="56" t="s">
        <v>663</v>
      </c>
      <c r="G368" s="57" t="s">
        <v>705</v>
      </c>
      <c r="H368" t="str">
        <f t="shared" si="2"/>
        <v>P4_4_g12_target</v>
      </c>
      <c r="J368" s="6"/>
      <c r="K368" s="6"/>
      <c r="L368" s="13"/>
    </row>
    <row r="369" spans="1:12" ht="16.350000000000001" customHeight="1" x14ac:dyDescent="0.45">
      <c r="A369" s="56" t="s">
        <v>126</v>
      </c>
      <c r="B369" s="56" t="s">
        <v>574</v>
      </c>
      <c r="C369" t="s">
        <v>575</v>
      </c>
      <c r="D369" s="56" t="s">
        <v>54</v>
      </c>
      <c r="E369" s="56">
        <v>4</v>
      </c>
      <c r="F369" s="56" t="s">
        <v>663</v>
      </c>
      <c r="G369" s="57" t="s">
        <v>706</v>
      </c>
      <c r="H369" t="str">
        <f t="shared" si="2"/>
        <v>P4_4_g13_name</v>
      </c>
      <c r="J369" s="6"/>
      <c r="K369" s="6"/>
      <c r="L369" s="13"/>
    </row>
    <row r="370" spans="1:12" ht="16.350000000000001" customHeight="1" x14ac:dyDescent="0.45">
      <c r="A370" s="56" t="s">
        <v>126</v>
      </c>
      <c r="B370" s="56" t="s">
        <v>574</v>
      </c>
      <c r="C370" t="s">
        <v>575</v>
      </c>
      <c r="D370" s="56" t="s">
        <v>54</v>
      </c>
      <c r="E370" s="56">
        <v>4</v>
      </c>
      <c r="F370" s="56" t="s">
        <v>663</v>
      </c>
      <c r="G370" s="57" t="s">
        <v>707</v>
      </c>
      <c r="H370" t="str">
        <f>_xlfn.CONCAT(C370, "_", E370, "_", G370)</f>
        <v>P4_4_g13_subsidy</v>
      </c>
      <c r="J370" s="6"/>
      <c r="K370" s="6"/>
      <c r="L370" s="13"/>
    </row>
    <row r="371" spans="1:12" ht="16.350000000000001" customHeight="1" x14ac:dyDescent="0.45">
      <c r="A371" s="56" t="s">
        <v>126</v>
      </c>
      <c r="B371" s="56" t="s">
        <v>574</v>
      </c>
      <c r="C371" t="s">
        <v>575</v>
      </c>
      <c r="D371" s="56" t="s">
        <v>54</v>
      </c>
      <c r="E371" s="56">
        <v>4</v>
      </c>
      <c r="F371" s="56" t="s">
        <v>663</v>
      </c>
      <c r="G371" s="57" t="s">
        <v>708</v>
      </c>
      <c r="H371" t="str">
        <f>_xlfn.CONCAT(C371, "_", E371, "_", G371)</f>
        <v>P4_4_g13_target</v>
      </c>
      <c r="J371" s="6"/>
      <c r="K371" s="6"/>
      <c r="L371" s="13"/>
    </row>
    <row r="372" spans="1:12" ht="16.350000000000001" customHeight="1" x14ac:dyDescent="0.45">
      <c r="A372" s="34" t="s">
        <v>709</v>
      </c>
      <c r="B372" s="35"/>
      <c r="C372" s="36" t="s">
        <v>575</v>
      </c>
      <c r="D372" s="35"/>
      <c r="E372" s="36" t="s">
        <v>575</v>
      </c>
      <c r="F372" s="36" t="s">
        <v>710</v>
      </c>
      <c r="G372" s="36" t="s">
        <v>711</v>
      </c>
      <c r="H372" s="36" t="s">
        <v>711</v>
      </c>
      <c r="I372" s="36">
        <v>3</v>
      </c>
      <c r="J372" s="36">
        <v>3</v>
      </c>
      <c r="K372" s="36">
        <v>3</v>
      </c>
      <c r="L372" s="37"/>
    </row>
    <row r="373" spans="1:12" x14ac:dyDescent="0.45">
      <c r="A373" s="38" t="s">
        <v>709</v>
      </c>
      <c r="C373" s="6" t="s">
        <v>575</v>
      </c>
      <c r="E373" s="6" t="s">
        <v>575</v>
      </c>
      <c r="F373" s="6" t="s">
        <v>6</v>
      </c>
      <c r="G373" s="6" t="s">
        <v>712</v>
      </c>
      <c r="H373" s="6" t="s">
        <v>712</v>
      </c>
      <c r="I373" s="6" t="s">
        <v>713</v>
      </c>
      <c r="J373" s="6" t="s">
        <v>714</v>
      </c>
      <c r="K373" s="6" t="s">
        <v>715</v>
      </c>
      <c r="L373" s="39"/>
    </row>
    <row r="374" spans="1:12" x14ac:dyDescent="0.45">
      <c r="A374" s="38" t="s">
        <v>709</v>
      </c>
      <c r="C374" s="6" t="s">
        <v>575</v>
      </c>
      <c r="E374" s="6" t="s">
        <v>575</v>
      </c>
      <c r="F374" s="6" t="s">
        <v>6</v>
      </c>
      <c r="G374" s="6" t="s">
        <v>716</v>
      </c>
      <c r="H374" s="6" t="s">
        <v>716</v>
      </c>
      <c r="I374" s="6">
        <v>1</v>
      </c>
      <c r="J374" s="6">
        <v>1</v>
      </c>
      <c r="K374" s="6">
        <v>1</v>
      </c>
      <c r="L374" s="39"/>
    </row>
    <row r="375" spans="1:12" x14ac:dyDescent="0.45">
      <c r="A375" s="38" t="s">
        <v>709</v>
      </c>
      <c r="C375" s="6" t="s">
        <v>575</v>
      </c>
      <c r="E375" s="6" t="s">
        <v>575</v>
      </c>
      <c r="F375" s="6" t="s">
        <v>6</v>
      </c>
      <c r="G375" s="6" t="s">
        <v>717</v>
      </c>
      <c r="H375" s="6" t="s">
        <v>717</v>
      </c>
      <c r="I375" s="6" t="s">
        <v>718</v>
      </c>
      <c r="J375" s="6" t="s">
        <v>718</v>
      </c>
      <c r="K375" s="6" t="s">
        <v>718</v>
      </c>
      <c r="L375" s="39"/>
    </row>
    <row r="376" spans="1:12" x14ac:dyDescent="0.45">
      <c r="A376" s="38" t="s">
        <v>709</v>
      </c>
      <c r="C376" s="6" t="s">
        <v>575</v>
      </c>
      <c r="E376" s="6" t="s">
        <v>575</v>
      </c>
      <c r="F376" s="6" t="s">
        <v>8</v>
      </c>
      <c r="G376" s="6" t="s">
        <v>719</v>
      </c>
      <c r="H376" s="6" t="s">
        <v>719</v>
      </c>
      <c r="I376" s="6" t="s">
        <v>720</v>
      </c>
      <c r="J376" s="6" t="s">
        <v>720</v>
      </c>
      <c r="K376" s="6" t="s">
        <v>720</v>
      </c>
      <c r="L376" s="39"/>
    </row>
    <row r="377" spans="1:12" x14ac:dyDescent="0.45">
      <c r="A377" s="38" t="s">
        <v>709</v>
      </c>
      <c r="C377" s="6" t="s">
        <v>575</v>
      </c>
      <c r="E377" s="6" t="s">
        <v>575</v>
      </c>
      <c r="F377" s="6" t="s">
        <v>8</v>
      </c>
      <c r="G377" s="6" t="s">
        <v>721</v>
      </c>
      <c r="H377" s="6" t="s">
        <v>721</v>
      </c>
      <c r="I377" s="6">
        <v>0</v>
      </c>
      <c r="J377" s="6">
        <v>0</v>
      </c>
      <c r="K377" s="6">
        <v>0</v>
      </c>
      <c r="L377" s="39"/>
    </row>
    <row r="378" spans="1:12" x14ac:dyDescent="0.45">
      <c r="A378" s="38" t="s">
        <v>709</v>
      </c>
      <c r="C378" s="6" t="s">
        <v>575</v>
      </c>
      <c r="E378" s="6" t="s">
        <v>575</v>
      </c>
      <c r="F378" s="6" t="s">
        <v>8</v>
      </c>
      <c r="G378" s="6" t="s">
        <v>722</v>
      </c>
      <c r="H378" s="6" t="s">
        <v>722</v>
      </c>
      <c r="I378" s="6" t="s">
        <v>723</v>
      </c>
      <c r="J378" s="6" t="s">
        <v>723</v>
      </c>
      <c r="K378" s="6" t="s">
        <v>723</v>
      </c>
      <c r="L378" s="39"/>
    </row>
    <row r="379" spans="1:12" x14ac:dyDescent="0.45">
      <c r="A379" s="38" t="s">
        <v>709</v>
      </c>
      <c r="C379" s="6" t="s">
        <v>575</v>
      </c>
      <c r="E379" s="6" t="s">
        <v>575</v>
      </c>
      <c r="F379" s="6" t="s">
        <v>10</v>
      </c>
      <c r="G379" s="6" t="s">
        <v>724</v>
      </c>
      <c r="H379" s="6" t="s">
        <v>724</v>
      </c>
      <c r="I379" s="6" t="s">
        <v>725</v>
      </c>
      <c r="J379" s="6" t="s">
        <v>725</v>
      </c>
      <c r="K379" s="6" t="s">
        <v>725</v>
      </c>
      <c r="L379" s="39"/>
    </row>
    <row r="380" spans="1:12" x14ac:dyDescent="0.45">
      <c r="A380" s="38" t="s">
        <v>709</v>
      </c>
      <c r="C380" s="6" t="s">
        <v>575</v>
      </c>
      <c r="E380" s="6" t="s">
        <v>575</v>
      </c>
      <c r="F380" s="6" t="s">
        <v>10</v>
      </c>
      <c r="G380" s="6" t="s">
        <v>726</v>
      </c>
      <c r="H380" s="6" t="s">
        <v>726</v>
      </c>
      <c r="I380" s="6">
        <v>0</v>
      </c>
      <c r="J380" s="6">
        <v>0</v>
      </c>
      <c r="K380" s="6">
        <v>0</v>
      </c>
      <c r="L380" s="39"/>
    </row>
    <row r="381" spans="1:12" x14ac:dyDescent="0.45">
      <c r="A381" s="38" t="s">
        <v>709</v>
      </c>
      <c r="C381" s="6" t="s">
        <v>575</v>
      </c>
      <c r="E381" s="6" t="s">
        <v>575</v>
      </c>
      <c r="F381" s="6" t="s">
        <v>10</v>
      </c>
      <c r="G381" s="6" t="s">
        <v>727</v>
      </c>
      <c r="H381" s="6" t="s">
        <v>727</v>
      </c>
      <c r="I381" s="6" t="s">
        <v>723</v>
      </c>
      <c r="J381" s="6" t="s">
        <v>723</v>
      </c>
      <c r="K381" s="6" t="s">
        <v>723</v>
      </c>
      <c r="L381" s="39"/>
    </row>
    <row r="382" spans="1:12" x14ac:dyDescent="0.45">
      <c r="A382" s="38" t="s">
        <v>709</v>
      </c>
      <c r="C382" s="6" t="s">
        <v>728</v>
      </c>
      <c r="E382" s="6" t="s">
        <v>728</v>
      </c>
      <c r="F382" s="6" t="s">
        <v>88</v>
      </c>
      <c r="G382" s="6" t="s">
        <v>729</v>
      </c>
      <c r="H382" s="6" t="s">
        <v>729</v>
      </c>
      <c r="I382" s="6" t="s">
        <v>718</v>
      </c>
      <c r="J382" s="6" t="s">
        <v>723</v>
      </c>
      <c r="K382" s="6" t="s">
        <v>718</v>
      </c>
      <c r="L382" s="39"/>
    </row>
    <row r="383" spans="1:12" x14ac:dyDescent="0.45">
      <c r="A383" s="38" t="s">
        <v>709</v>
      </c>
      <c r="C383" s="6" t="s">
        <v>728</v>
      </c>
      <c r="E383" s="6" t="s">
        <v>728</v>
      </c>
      <c r="F383" s="6" t="s">
        <v>88</v>
      </c>
      <c r="G383" s="6" t="s">
        <v>730</v>
      </c>
      <c r="H383" s="6" t="s">
        <v>730</v>
      </c>
      <c r="I383" s="6">
        <v>20220</v>
      </c>
      <c r="J383" s="6">
        <v>95920.705090000003</v>
      </c>
      <c r="K383" s="6">
        <v>56246.65</v>
      </c>
      <c r="L383" s="39"/>
    </row>
    <row r="384" spans="1:12" x14ac:dyDescent="0.45">
      <c r="A384" s="38" t="s">
        <v>709</v>
      </c>
      <c r="C384" s="6" t="s">
        <v>728</v>
      </c>
      <c r="E384" s="6" t="s">
        <v>728</v>
      </c>
      <c r="F384" s="6" t="s">
        <v>731</v>
      </c>
      <c r="G384" s="6" t="s">
        <v>732</v>
      </c>
      <c r="H384" s="6" t="s">
        <v>732</v>
      </c>
      <c r="I384" s="6" t="s">
        <v>723</v>
      </c>
      <c r="J384" s="6" t="s">
        <v>723</v>
      </c>
      <c r="K384" s="6" t="s">
        <v>718</v>
      </c>
      <c r="L384" s="39"/>
    </row>
    <row r="385" spans="1:12" x14ac:dyDescent="0.45">
      <c r="A385" s="38" t="s">
        <v>709</v>
      </c>
      <c r="C385" s="6" t="s">
        <v>728</v>
      </c>
      <c r="E385" s="6" t="s">
        <v>728</v>
      </c>
      <c r="F385" s="6" t="s">
        <v>78</v>
      </c>
      <c r="G385" s="6" t="s">
        <v>733</v>
      </c>
      <c r="H385" s="6" t="s">
        <v>733</v>
      </c>
      <c r="I385" s="6">
        <v>83610.157999999996</v>
      </c>
      <c r="J385" s="6">
        <v>13935.44</v>
      </c>
      <c r="K385" s="6">
        <v>33229</v>
      </c>
      <c r="L385" s="39"/>
    </row>
    <row r="386" spans="1:12" x14ac:dyDescent="0.45">
      <c r="A386" s="38" t="s">
        <v>709</v>
      </c>
      <c r="C386" s="6" t="s">
        <v>728</v>
      </c>
      <c r="E386" s="6" t="s">
        <v>728</v>
      </c>
      <c r="F386" s="6" t="s">
        <v>80</v>
      </c>
      <c r="G386" s="6" t="s">
        <v>734</v>
      </c>
      <c r="H386" s="6" t="s">
        <v>734</v>
      </c>
      <c r="I386" s="6">
        <v>34019.462</v>
      </c>
      <c r="J386" s="6">
        <v>4195.5200000000004</v>
      </c>
      <c r="K386" s="6">
        <v>22645</v>
      </c>
      <c r="L386" s="39"/>
    </row>
    <row r="387" spans="1:12" x14ac:dyDescent="0.45">
      <c r="A387" s="38" t="s">
        <v>709</v>
      </c>
      <c r="C387" s="6" t="s">
        <v>728</v>
      </c>
      <c r="E387" s="6" t="s">
        <v>728</v>
      </c>
      <c r="F387" s="6" t="s">
        <v>735</v>
      </c>
      <c r="G387" s="6" t="s">
        <v>736</v>
      </c>
      <c r="H387" s="6" t="s">
        <v>736</v>
      </c>
      <c r="I387" s="6">
        <v>25933.912</v>
      </c>
      <c r="J387" s="6">
        <v>3810.96</v>
      </c>
      <c r="K387" s="6">
        <v>44725</v>
      </c>
      <c r="L387" s="39"/>
    </row>
    <row r="388" spans="1:12" x14ac:dyDescent="0.45">
      <c r="A388" s="38" t="s">
        <v>709</v>
      </c>
      <c r="C388" s="6" t="s">
        <v>728</v>
      </c>
      <c r="E388" s="6" t="s">
        <v>728</v>
      </c>
      <c r="F388" s="6" t="s">
        <v>82</v>
      </c>
      <c r="G388" s="6" t="s">
        <v>737</v>
      </c>
      <c r="H388" s="6" t="s">
        <v>737</v>
      </c>
      <c r="I388" s="6">
        <v>58600.084000000003</v>
      </c>
      <c r="J388" s="6">
        <v>0</v>
      </c>
      <c r="K388" s="6">
        <v>0</v>
      </c>
      <c r="L388" s="39"/>
    </row>
    <row r="389" spans="1:12" x14ac:dyDescent="0.45">
      <c r="A389" s="38" t="s">
        <v>709</v>
      </c>
      <c r="C389" s="6" t="s">
        <v>728</v>
      </c>
      <c r="E389" s="6" t="s">
        <v>728</v>
      </c>
      <c r="F389" s="6" t="s">
        <v>86</v>
      </c>
      <c r="G389" s="6" t="s">
        <v>738</v>
      </c>
      <c r="H389" s="6" t="s">
        <v>738</v>
      </c>
      <c r="I389" s="6">
        <v>0</v>
      </c>
      <c r="J389" s="6">
        <v>7626</v>
      </c>
      <c r="K389" s="6">
        <v>539726</v>
      </c>
      <c r="L389" s="39"/>
    </row>
    <row r="390" spans="1:12" x14ac:dyDescent="0.45">
      <c r="A390" s="38" t="s">
        <v>709</v>
      </c>
      <c r="C390" s="6" t="s">
        <v>728</v>
      </c>
      <c r="E390" s="6" t="s">
        <v>728</v>
      </c>
      <c r="F390" s="6" t="s">
        <v>739</v>
      </c>
      <c r="G390" s="6" t="s">
        <v>740</v>
      </c>
      <c r="H390" s="6" t="s">
        <v>740</v>
      </c>
      <c r="I390" s="6">
        <v>1</v>
      </c>
      <c r="J390" s="6">
        <v>0</v>
      </c>
      <c r="K390" s="6">
        <v>0</v>
      </c>
      <c r="L390" s="39"/>
    </row>
    <row r="391" spans="1:12" x14ac:dyDescent="0.45">
      <c r="A391" s="40" t="s">
        <v>709</v>
      </c>
      <c r="B391" s="41"/>
      <c r="C391" s="42" t="s">
        <v>728</v>
      </c>
      <c r="D391" s="41"/>
      <c r="E391" s="42" t="s">
        <v>728</v>
      </c>
      <c r="F391" s="42" t="s">
        <v>741</v>
      </c>
      <c r="G391" s="42" t="s">
        <v>742</v>
      </c>
      <c r="H391" s="42" t="s">
        <v>742</v>
      </c>
      <c r="I391" s="42">
        <v>1</v>
      </c>
      <c r="J391" s="42">
        <v>0</v>
      </c>
      <c r="K391" s="42">
        <v>0</v>
      </c>
      <c r="L391" s="43"/>
    </row>
    <row r="392" spans="1:12" x14ac:dyDescent="0.45">
      <c r="A392" s="6" t="s">
        <v>743</v>
      </c>
      <c r="B392" s="6"/>
      <c r="C392" s="6" t="s">
        <v>467</v>
      </c>
      <c r="D392" s="6" t="s">
        <v>468</v>
      </c>
      <c r="E392" s="6"/>
      <c r="F392" s="6" t="s">
        <v>470</v>
      </c>
      <c r="G392" s="6" t="s">
        <v>436</v>
      </c>
      <c r="H392" s="15" t="s">
        <v>744</v>
      </c>
      <c r="I392" s="15">
        <v>1.95</v>
      </c>
      <c r="J392" s="15">
        <v>0.5</v>
      </c>
      <c r="K392" s="15">
        <v>0.4</v>
      </c>
      <c r="L392" s="13" t="s">
        <v>204</v>
      </c>
    </row>
    <row r="393" spans="1:12" x14ac:dyDescent="0.45">
      <c r="A393" s="6" t="s">
        <v>743</v>
      </c>
      <c r="B393" s="6"/>
      <c r="C393" s="6" t="s">
        <v>467</v>
      </c>
      <c r="D393" s="6" t="s">
        <v>468</v>
      </c>
      <c r="E393" s="6"/>
      <c r="F393" s="6" t="s">
        <v>470</v>
      </c>
      <c r="G393" s="6" t="s">
        <v>436</v>
      </c>
      <c r="H393" s="15" t="s">
        <v>745</v>
      </c>
      <c r="I393" s="15">
        <v>0.8</v>
      </c>
      <c r="J393" s="15">
        <v>0.05</v>
      </c>
      <c r="K393" s="15">
        <v>0.05</v>
      </c>
      <c r="L393" s="13" t="s">
        <v>204</v>
      </c>
    </row>
    <row r="394" spans="1:12" x14ac:dyDescent="0.45">
      <c r="A394" s="6" t="s">
        <v>743</v>
      </c>
      <c r="B394" s="6"/>
      <c r="C394" s="6" t="s">
        <v>467</v>
      </c>
      <c r="D394" s="6" t="s">
        <v>468</v>
      </c>
      <c r="E394" s="6"/>
      <c r="F394" s="6" t="s">
        <v>470</v>
      </c>
      <c r="G394" s="6" t="s">
        <v>436</v>
      </c>
      <c r="H394" s="15" t="s">
        <v>746</v>
      </c>
      <c r="I394" s="15">
        <v>0</v>
      </c>
      <c r="J394" s="15">
        <v>0</v>
      </c>
      <c r="K394" s="15">
        <v>0.05</v>
      </c>
      <c r="L394" s="13" t="s">
        <v>204</v>
      </c>
    </row>
    <row r="395" spans="1:12" x14ac:dyDescent="0.45">
      <c r="A395" s="6" t="s">
        <v>743</v>
      </c>
      <c r="B395" s="6"/>
      <c r="C395" s="6" t="s">
        <v>467</v>
      </c>
      <c r="D395" s="6" t="s">
        <v>468</v>
      </c>
      <c r="E395" s="6"/>
      <c r="F395" s="6" t="s">
        <v>470</v>
      </c>
      <c r="G395" s="6" t="s">
        <v>436</v>
      </c>
      <c r="H395" s="15" t="s">
        <v>747</v>
      </c>
      <c r="I395" s="15">
        <v>7.4999999999999997E-2</v>
      </c>
      <c r="J395" s="15">
        <v>0.05</v>
      </c>
      <c r="K395" s="15">
        <v>0</v>
      </c>
      <c r="L395" s="13" t="s">
        <v>204</v>
      </c>
    </row>
    <row r="396" spans="1:12" x14ac:dyDescent="0.45">
      <c r="A396" s="6" t="s">
        <v>743</v>
      </c>
      <c r="B396" s="6"/>
      <c r="C396" s="6" t="s">
        <v>467</v>
      </c>
      <c r="D396" s="6" t="s">
        <v>468</v>
      </c>
      <c r="E396" s="6"/>
      <c r="F396" s="6" t="s">
        <v>470</v>
      </c>
      <c r="G396" s="6" t="s">
        <v>436</v>
      </c>
      <c r="H396" s="15" t="s">
        <v>748</v>
      </c>
      <c r="I396" s="15">
        <v>0.67</v>
      </c>
      <c r="J396" s="15">
        <v>0.5</v>
      </c>
      <c r="K396" s="15">
        <v>0.65</v>
      </c>
      <c r="L396" s="13" t="s">
        <v>749</v>
      </c>
    </row>
    <row r="397" spans="1:12" x14ac:dyDescent="0.45">
      <c r="A397" s="6" t="s">
        <v>743</v>
      </c>
      <c r="B397" s="6"/>
      <c r="C397" s="6" t="s">
        <v>467</v>
      </c>
      <c r="D397" s="6" t="s">
        <v>468</v>
      </c>
      <c r="E397" s="6"/>
      <c r="F397" s="6" t="s">
        <v>470</v>
      </c>
      <c r="G397" s="6" t="s">
        <v>436</v>
      </c>
      <c r="H397" s="15" t="s">
        <v>750</v>
      </c>
      <c r="I397" s="15">
        <v>0.3</v>
      </c>
      <c r="J397" s="15">
        <v>0.1</v>
      </c>
      <c r="K397" s="15">
        <v>0.05</v>
      </c>
      <c r="L397" s="13" t="s">
        <v>204</v>
      </c>
    </row>
    <row r="398" spans="1:12" x14ac:dyDescent="0.45">
      <c r="A398" s="6" t="s">
        <v>743</v>
      </c>
      <c r="B398" s="6"/>
      <c r="C398" s="6" t="s">
        <v>467</v>
      </c>
      <c r="D398" s="6" t="s">
        <v>468</v>
      </c>
      <c r="E398" s="6"/>
      <c r="F398" s="6" t="s">
        <v>470</v>
      </c>
      <c r="G398" s="6" t="s">
        <v>436</v>
      </c>
      <c r="H398" s="15" t="s">
        <v>751</v>
      </c>
      <c r="I398" s="15">
        <v>0.1</v>
      </c>
      <c r="J398" s="15">
        <v>0</v>
      </c>
      <c r="K398" s="15">
        <v>0</v>
      </c>
      <c r="L398" s="13" t="s">
        <v>204</v>
      </c>
    </row>
    <row r="399" spans="1:12" x14ac:dyDescent="0.45">
      <c r="A399" s="6" t="s">
        <v>743</v>
      </c>
      <c r="B399" s="6"/>
      <c r="C399" s="6" t="s">
        <v>467</v>
      </c>
      <c r="D399" s="6" t="s">
        <v>468</v>
      </c>
      <c r="E399" s="6"/>
      <c r="F399" s="6" t="s">
        <v>470</v>
      </c>
      <c r="G399" s="6" t="s">
        <v>436</v>
      </c>
      <c r="H399" s="15" t="s">
        <v>752</v>
      </c>
      <c r="I399" s="15">
        <v>0</v>
      </c>
      <c r="J399" s="15">
        <v>0</v>
      </c>
      <c r="K399" s="15">
        <v>0.1</v>
      </c>
      <c r="L399" s="13" t="s">
        <v>204</v>
      </c>
    </row>
    <row r="400" spans="1:12" x14ac:dyDescent="0.45">
      <c r="A400" s="6" t="s">
        <v>743</v>
      </c>
      <c r="B400" s="6"/>
      <c r="C400" s="6" t="s">
        <v>467</v>
      </c>
      <c r="D400" s="6" t="s">
        <v>468</v>
      </c>
      <c r="E400" s="6"/>
      <c r="F400" s="6" t="s">
        <v>470</v>
      </c>
      <c r="G400" s="6" t="s">
        <v>436</v>
      </c>
      <c r="H400" s="15" t="s">
        <v>753</v>
      </c>
      <c r="I400" s="15">
        <v>0</v>
      </c>
      <c r="J400" s="15">
        <v>0</v>
      </c>
      <c r="K400" s="15">
        <v>0.05</v>
      </c>
      <c r="L400" s="13" t="s">
        <v>204</v>
      </c>
    </row>
    <row r="401" spans="1:12" x14ac:dyDescent="0.45">
      <c r="A401" s="6" t="s">
        <v>743</v>
      </c>
      <c r="B401" s="6"/>
      <c r="C401" s="6" t="s">
        <v>467</v>
      </c>
      <c r="D401" s="6" t="s">
        <v>468</v>
      </c>
      <c r="E401" s="6"/>
      <c r="F401" s="6" t="s">
        <v>470</v>
      </c>
      <c r="G401" s="6" t="s">
        <v>436</v>
      </c>
      <c r="H401" s="15" t="s">
        <v>754</v>
      </c>
      <c r="I401" s="15">
        <v>0</v>
      </c>
      <c r="J401" s="15">
        <v>0</v>
      </c>
      <c r="K401" s="15">
        <v>0</v>
      </c>
      <c r="L401" s="13" t="s">
        <v>204</v>
      </c>
    </row>
    <row r="402" spans="1:12" x14ac:dyDescent="0.45">
      <c r="A402" s="6" t="s">
        <v>743</v>
      </c>
      <c r="B402" s="6"/>
      <c r="C402" s="6" t="s">
        <v>467</v>
      </c>
      <c r="D402" s="6" t="s">
        <v>468</v>
      </c>
      <c r="E402" s="6"/>
      <c r="F402" s="6" t="s">
        <v>470</v>
      </c>
      <c r="G402" s="6" t="s">
        <v>436</v>
      </c>
      <c r="H402" s="15" t="s">
        <v>755</v>
      </c>
      <c r="I402" s="15">
        <v>0</v>
      </c>
      <c r="J402" s="15">
        <v>0.05</v>
      </c>
      <c r="K402" s="15">
        <v>0</v>
      </c>
      <c r="L402" s="13" t="s">
        <v>204</v>
      </c>
    </row>
    <row r="403" spans="1:12" x14ac:dyDescent="0.45">
      <c r="A403" s="6" t="s">
        <v>743</v>
      </c>
      <c r="B403" s="6"/>
      <c r="C403" s="6" t="s">
        <v>467</v>
      </c>
      <c r="D403" s="6" t="s">
        <v>468</v>
      </c>
      <c r="E403" s="6"/>
      <c r="F403" s="6" t="s">
        <v>470</v>
      </c>
      <c r="G403" s="6" t="s">
        <v>436</v>
      </c>
      <c r="H403" s="15" t="s">
        <v>756</v>
      </c>
      <c r="I403" s="15">
        <v>0</v>
      </c>
      <c r="J403" s="15">
        <v>0</v>
      </c>
      <c r="K403" s="15">
        <v>0.15</v>
      </c>
      <c r="L403" s="13" t="s">
        <v>204</v>
      </c>
    </row>
    <row r="404" spans="1:12" x14ac:dyDescent="0.45">
      <c r="A404" s="6" t="s">
        <v>743</v>
      </c>
      <c r="B404" s="6"/>
      <c r="C404" s="6" t="s">
        <v>467</v>
      </c>
      <c r="D404" s="6" t="s">
        <v>468</v>
      </c>
      <c r="E404" s="6"/>
      <c r="F404" s="6" t="s">
        <v>470</v>
      </c>
      <c r="G404" s="6" t="s">
        <v>436</v>
      </c>
      <c r="H404" s="15" t="s">
        <v>757</v>
      </c>
      <c r="I404" s="15">
        <v>9.5000000000000001E-2</v>
      </c>
      <c r="J404" s="15">
        <v>0</v>
      </c>
      <c r="K404" s="15">
        <v>0</v>
      </c>
      <c r="L404" s="13" t="s">
        <v>204</v>
      </c>
    </row>
    <row r="405" spans="1:12" x14ac:dyDescent="0.45">
      <c r="A405" s="6" t="s">
        <v>743</v>
      </c>
      <c r="B405" s="6"/>
      <c r="C405" s="6" t="s">
        <v>467</v>
      </c>
      <c r="D405" s="6" t="s">
        <v>468</v>
      </c>
      <c r="E405" s="6"/>
      <c r="F405" s="6" t="s">
        <v>470</v>
      </c>
      <c r="G405" s="6" t="s">
        <v>436</v>
      </c>
      <c r="H405" s="15" t="s">
        <v>758</v>
      </c>
      <c r="I405" s="15">
        <v>7.9000000000000001E-2</v>
      </c>
      <c r="J405" s="15">
        <v>0</v>
      </c>
      <c r="K405" s="15">
        <v>0</v>
      </c>
      <c r="L405" s="13" t="s">
        <v>204</v>
      </c>
    </row>
    <row r="406" spans="1:12" x14ac:dyDescent="0.45">
      <c r="A406" s="6" t="s">
        <v>759</v>
      </c>
      <c r="B406" s="6"/>
      <c r="C406" s="6" t="s">
        <v>467</v>
      </c>
      <c r="D406" s="6" t="s">
        <v>468</v>
      </c>
      <c r="E406" s="6"/>
      <c r="F406" s="6" t="s">
        <v>470</v>
      </c>
      <c r="G406" s="6" t="s">
        <v>436</v>
      </c>
      <c r="H406" s="15" t="s">
        <v>760</v>
      </c>
      <c r="I406" s="15">
        <v>0</v>
      </c>
      <c r="J406" s="15">
        <v>0</v>
      </c>
      <c r="K406" s="15">
        <v>0</v>
      </c>
      <c r="L406" s="13" t="s">
        <v>204</v>
      </c>
    </row>
    <row r="407" spans="1:12" x14ac:dyDescent="0.45">
      <c r="A407" s="6" t="s">
        <v>743</v>
      </c>
      <c r="B407" s="6"/>
      <c r="C407" s="6" t="s">
        <v>467</v>
      </c>
      <c r="D407" s="6" t="s">
        <v>468</v>
      </c>
      <c r="E407" s="6"/>
      <c r="F407" s="6" t="s">
        <v>470</v>
      </c>
      <c r="G407" s="6" t="s">
        <v>436</v>
      </c>
      <c r="H407" s="15" t="s">
        <v>761</v>
      </c>
      <c r="I407" s="15">
        <v>6.3E-2</v>
      </c>
      <c r="J407" s="15">
        <v>0</v>
      </c>
      <c r="K407" s="15">
        <v>0</v>
      </c>
      <c r="L407" s="13" t="s">
        <v>204</v>
      </c>
    </row>
    <row r="408" spans="1:12" x14ac:dyDescent="0.45">
      <c r="A408" s="6" t="s">
        <v>743</v>
      </c>
      <c r="B408" s="6"/>
      <c r="C408" s="6" t="s">
        <v>467</v>
      </c>
      <c r="D408" s="6" t="s">
        <v>468</v>
      </c>
      <c r="E408" s="6"/>
      <c r="F408" s="6" t="s">
        <v>470</v>
      </c>
      <c r="G408" s="6" t="s">
        <v>436</v>
      </c>
      <c r="H408" s="6" t="s">
        <v>762</v>
      </c>
      <c r="I408" s="6">
        <v>1.95</v>
      </c>
      <c r="J408" s="6">
        <v>0.5</v>
      </c>
      <c r="K408" s="6">
        <v>0.4</v>
      </c>
      <c r="L408" s="13" t="s">
        <v>204</v>
      </c>
    </row>
    <row r="409" spans="1:12" x14ac:dyDescent="0.45">
      <c r="A409" s="6" t="s">
        <v>743</v>
      </c>
      <c r="B409" s="6"/>
      <c r="C409" s="6" t="s">
        <v>467</v>
      </c>
      <c r="D409" s="6" t="s">
        <v>468</v>
      </c>
      <c r="E409" s="6"/>
      <c r="F409" s="6" t="s">
        <v>470</v>
      </c>
      <c r="G409" s="6" t="s">
        <v>436</v>
      </c>
      <c r="H409" s="6" t="s">
        <v>763</v>
      </c>
      <c r="I409" s="6">
        <v>0.8</v>
      </c>
      <c r="J409" s="6">
        <v>0.05</v>
      </c>
      <c r="K409" s="6">
        <v>0.05</v>
      </c>
      <c r="L409" s="13" t="s">
        <v>204</v>
      </c>
    </row>
    <row r="410" spans="1:12" x14ac:dyDescent="0.45">
      <c r="A410" s="6" t="s">
        <v>743</v>
      </c>
      <c r="B410" s="6"/>
      <c r="C410" s="6" t="s">
        <v>467</v>
      </c>
      <c r="D410" s="6" t="s">
        <v>468</v>
      </c>
      <c r="E410" s="6"/>
      <c r="F410" s="6" t="s">
        <v>470</v>
      </c>
      <c r="G410" s="6" t="s">
        <v>436</v>
      </c>
      <c r="H410" s="6" t="s">
        <v>764</v>
      </c>
      <c r="I410" s="6">
        <v>0</v>
      </c>
      <c r="J410" s="6">
        <v>0</v>
      </c>
      <c r="K410" s="6">
        <v>0.05</v>
      </c>
      <c r="L410" s="13" t="s">
        <v>204</v>
      </c>
    </row>
    <row r="411" spans="1:12" x14ac:dyDescent="0.45">
      <c r="A411" s="6" t="s">
        <v>743</v>
      </c>
      <c r="B411" s="6"/>
      <c r="C411" s="6" t="s">
        <v>467</v>
      </c>
      <c r="D411" s="6" t="s">
        <v>468</v>
      </c>
      <c r="E411" s="6"/>
      <c r="F411" s="6" t="s">
        <v>470</v>
      </c>
      <c r="G411" s="6" t="s">
        <v>436</v>
      </c>
      <c r="H411" s="6" t="s">
        <v>765</v>
      </c>
      <c r="I411" s="6">
        <v>7.4999999999999997E-2</v>
      </c>
      <c r="J411" s="6">
        <v>0.05</v>
      </c>
      <c r="K411" s="6">
        <v>0</v>
      </c>
      <c r="L411" s="13" t="s">
        <v>204</v>
      </c>
    </row>
    <row r="412" spans="1:12" x14ac:dyDescent="0.45">
      <c r="A412" s="6" t="s">
        <v>743</v>
      </c>
      <c r="B412" s="6"/>
      <c r="C412" s="6" t="s">
        <v>467</v>
      </c>
      <c r="D412" s="6" t="s">
        <v>468</v>
      </c>
      <c r="E412" s="6"/>
      <c r="F412" s="6" t="s">
        <v>470</v>
      </c>
      <c r="G412" s="6" t="s">
        <v>436</v>
      </c>
      <c r="H412" s="6" t="s">
        <v>766</v>
      </c>
      <c r="I412" s="6">
        <v>0.67</v>
      </c>
      <c r="J412" s="6">
        <v>0.5</v>
      </c>
      <c r="K412" s="6">
        <v>0.65</v>
      </c>
      <c r="L412" s="13" t="s">
        <v>204</v>
      </c>
    </row>
    <row r="413" spans="1:12" x14ac:dyDescent="0.45">
      <c r="A413" s="6" t="s">
        <v>743</v>
      </c>
      <c r="B413" s="6"/>
      <c r="C413" s="6" t="s">
        <v>467</v>
      </c>
      <c r="D413" s="6" t="s">
        <v>468</v>
      </c>
      <c r="E413" s="6"/>
      <c r="F413" s="6" t="s">
        <v>470</v>
      </c>
      <c r="G413" s="6" t="s">
        <v>436</v>
      </c>
      <c r="H413" s="6" t="s">
        <v>767</v>
      </c>
      <c r="I413" s="6">
        <v>0.3</v>
      </c>
      <c r="J413" s="6">
        <v>0.1</v>
      </c>
      <c r="K413" s="6">
        <v>0.05</v>
      </c>
      <c r="L413" s="13" t="s">
        <v>204</v>
      </c>
    </row>
    <row r="414" spans="1:12" x14ac:dyDescent="0.45">
      <c r="A414" s="6" t="s">
        <v>743</v>
      </c>
      <c r="B414" s="6"/>
      <c r="C414" s="6" t="s">
        <v>467</v>
      </c>
      <c r="D414" s="6" t="s">
        <v>468</v>
      </c>
      <c r="E414" s="6"/>
      <c r="F414" s="6" t="s">
        <v>470</v>
      </c>
      <c r="G414" s="6" t="s">
        <v>436</v>
      </c>
      <c r="H414" s="6" t="s">
        <v>768</v>
      </c>
      <c r="I414" s="6">
        <v>0.1</v>
      </c>
      <c r="J414" s="6">
        <v>0</v>
      </c>
      <c r="K414" s="6">
        <v>0</v>
      </c>
      <c r="L414" s="13" t="s">
        <v>204</v>
      </c>
    </row>
    <row r="415" spans="1:12" x14ac:dyDescent="0.45">
      <c r="A415" s="6" t="s">
        <v>743</v>
      </c>
      <c r="B415" s="6"/>
      <c r="C415" s="6" t="s">
        <v>467</v>
      </c>
      <c r="D415" s="6" t="s">
        <v>468</v>
      </c>
      <c r="E415" s="6"/>
      <c r="F415" s="6" t="s">
        <v>470</v>
      </c>
      <c r="G415" s="6" t="s">
        <v>436</v>
      </c>
      <c r="H415" s="6" t="s">
        <v>769</v>
      </c>
      <c r="I415" s="6">
        <v>0</v>
      </c>
      <c r="J415" s="6">
        <v>0</v>
      </c>
      <c r="K415" s="6">
        <v>0.1</v>
      </c>
      <c r="L415" s="13" t="s">
        <v>204</v>
      </c>
    </row>
    <row r="416" spans="1:12" x14ac:dyDescent="0.45">
      <c r="A416" s="6" t="s">
        <v>743</v>
      </c>
      <c r="B416" s="6"/>
      <c r="C416" s="6" t="s">
        <v>467</v>
      </c>
      <c r="D416" s="6" t="s">
        <v>468</v>
      </c>
      <c r="E416" s="6"/>
      <c r="F416" s="6" t="s">
        <v>470</v>
      </c>
      <c r="G416" s="6" t="s">
        <v>436</v>
      </c>
      <c r="H416" s="6" t="s">
        <v>770</v>
      </c>
      <c r="I416" s="6">
        <v>0</v>
      </c>
      <c r="J416" s="6">
        <v>0</v>
      </c>
      <c r="K416" s="6">
        <v>0.05</v>
      </c>
      <c r="L416" s="13" t="s">
        <v>204</v>
      </c>
    </row>
    <row r="417" spans="1:12" x14ac:dyDescent="0.45">
      <c r="A417" s="6" t="s">
        <v>743</v>
      </c>
      <c r="B417" s="6"/>
      <c r="C417" s="6" t="s">
        <v>467</v>
      </c>
      <c r="D417" s="6" t="s">
        <v>468</v>
      </c>
      <c r="E417" s="6"/>
      <c r="F417" s="6" t="s">
        <v>470</v>
      </c>
      <c r="G417" s="6" t="s">
        <v>436</v>
      </c>
      <c r="H417" s="6" t="s">
        <v>771</v>
      </c>
      <c r="I417" s="6">
        <v>0</v>
      </c>
      <c r="J417" s="6">
        <v>0</v>
      </c>
      <c r="K417" s="6">
        <v>0</v>
      </c>
      <c r="L417" s="13" t="s">
        <v>204</v>
      </c>
    </row>
    <row r="418" spans="1:12" x14ac:dyDescent="0.45">
      <c r="A418" s="6" t="s">
        <v>743</v>
      </c>
      <c r="B418" s="6"/>
      <c r="C418" s="6" t="s">
        <v>467</v>
      </c>
      <c r="D418" s="6" t="s">
        <v>468</v>
      </c>
      <c r="E418" s="6"/>
      <c r="F418" s="6" t="s">
        <v>470</v>
      </c>
      <c r="G418" s="6" t="s">
        <v>436</v>
      </c>
      <c r="H418" s="6" t="s">
        <v>772</v>
      </c>
      <c r="I418" s="6">
        <v>0</v>
      </c>
      <c r="J418" s="6">
        <v>0.05</v>
      </c>
      <c r="K418" s="6">
        <v>0</v>
      </c>
      <c r="L418" s="13" t="s">
        <v>204</v>
      </c>
    </row>
    <row r="419" spans="1:12" x14ac:dyDescent="0.45">
      <c r="A419" s="6" t="s">
        <v>743</v>
      </c>
      <c r="B419" s="6"/>
      <c r="C419" s="6" t="s">
        <v>467</v>
      </c>
      <c r="D419" s="6" t="s">
        <v>468</v>
      </c>
      <c r="E419" s="6"/>
      <c r="F419" s="6" t="s">
        <v>470</v>
      </c>
      <c r="G419" s="6" t="s">
        <v>436</v>
      </c>
      <c r="H419" s="6" t="s">
        <v>773</v>
      </c>
      <c r="I419" s="6">
        <v>0</v>
      </c>
      <c r="J419" s="6">
        <v>0</v>
      </c>
      <c r="K419" s="6">
        <v>0.15</v>
      </c>
      <c r="L419" s="13" t="s">
        <v>204</v>
      </c>
    </row>
    <row r="420" spans="1:12" x14ac:dyDescent="0.45">
      <c r="A420" s="6" t="s">
        <v>466</v>
      </c>
      <c r="B420" s="6"/>
      <c r="C420" s="6" t="s">
        <v>467</v>
      </c>
      <c r="D420" s="6" t="s">
        <v>468</v>
      </c>
      <c r="E420" s="6" t="s">
        <v>469</v>
      </c>
      <c r="F420" s="6" t="s">
        <v>470</v>
      </c>
      <c r="G420" s="6" t="s">
        <v>436</v>
      </c>
      <c r="H420" s="6" t="s">
        <v>774</v>
      </c>
      <c r="I420" s="6">
        <v>9.5000000000000001E-2</v>
      </c>
      <c r="J420" s="6">
        <v>0</v>
      </c>
      <c r="K420" s="6">
        <v>0</v>
      </c>
      <c r="L420" s="13" t="s">
        <v>204</v>
      </c>
    </row>
    <row r="421" spans="1:12" x14ac:dyDescent="0.45">
      <c r="A421" s="6" t="s">
        <v>743</v>
      </c>
      <c r="B421" s="6"/>
      <c r="C421" s="6" t="s">
        <v>467</v>
      </c>
      <c r="D421" s="6" t="s">
        <v>468</v>
      </c>
      <c r="E421" s="6"/>
      <c r="F421" s="6" t="s">
        <v>470</v>
      </c>
      <c r="G421" s="6" t="s">
        <v>436</v>
      </c>
      <c r="H421" s="6" t="s">
        <v>775</v>
      </c>
      <c r="I421" s="6">
        <v>6.3E-2</v>
      </c>
      <c r="J421" s="6">
        <v>0</v>
      </c>
      <c r="K421" s="6">
        <v>0</v>
      </c>
      <c r="L421" s="13" t="s">
        <v>204</v>
      </c>
    </row>
    <row r="422" spans="1:12" x14ac:dyDescent="0.45">
      <c r="A422" s="6" t="s">
        <v>466</v>
      </c>
      <c r="B422" s="6"/>
      <c r="C422" s="6" t="s">
        <v>467</v>
      </c>
      <c r="D422" s="6" t="s">
        <v>468</v>
      </c>
      <c r="E422" s="6" t="s">
        <v>469</v>
      </c>
      <c r="F422" s="6" t="s">
        <v>470</v>
      </c>
      <c r="G422" s="6" t="s">
        <v>436</v>
      </c>
      <c r="H422" s="6" t="s">
        <v>776</v>
      </c>
      <c r="I422" s="6">
        <v>7.9000000000000001E-2</v>
      </c>
      <c r="J422" s="6">
        <v>0</v>
      </c>
      <c r="K422" s="6">
        <v>0</v>
      </c>
      <c r="L422" s="13" t="s">
        <v>204</v>
      </c>
    </row>
    <row r="423" spans="1:12" x14ac:dyDescent="0.45">
      <c r="A423" s="6" t="s">
        <v>743</v>
      </c>
      <c r="B423" s="6"/>
      <c r="C423" s="6" t="s">
        <v>467</v>
      </c>
      <c r="D423" s="6" t="s">
        <v>468</v>
      </c>
      <c r="E423" s="6"/>
      <c r="F423" s="6" t="s">
        <v>470</v>
      </c>
      <c r="G423" s="6" t="s">
        <v>436</v>
      </c>
      <c r="H423" s="6" t="s">
        <v>777</v>
      </c>
      <c r="I423" s="6">
        <v>0</v>
      </c>
      <c r="J423" s="6">
        <v>0</v>
      </c>
      <c r="K423" s="6">
        <v>0</v>
      </c>
      <c r="L423" s="13" t="s">
        <v>204</v>
      </c>
    </row>
    <row r="424" spans="1:12" x14ac:dyDescent="0.45">
      <c r="A424" s="6" t="s">
        <v>743</v>
      </c>
      <c r="B424" s="6"/>
      <c r="C424" s="6" t="s">
        <v>467</v>
      </c>
      <c r="D424" s="6" t="s">
        <v>468</v>
      </c>
      <c r="E424" s="6"/>
      <c r="F424" s="6" t="s">
        <v>470</v>
      </c>
      <c r="G424" s="6" t="s">
        <v>436</v>
      </c>
      <c r="H424" s="6" t="s">
        <v>778</v>
      </c>
      <c r="I424" s="6">
        <v>-0.56999999999999995</v>
      </c>
      <c r="J424" s="6">
        <v>-0.56999999999999995</v>
      </c>
      <c r="K424" s="6">
        <v>-0.56999999999999995</v>
      </c>
      <c r="L424" s="13" t="s">
        <v>204</v>
      </c>
    </row>
    <row r="425" spans="1:12" x14ac:dyDescent="0.45">
      <c r="A425" s="6" t="s">
        <v>743</v>
      </c>
      <c r="B425" s="6"/>
      <c r="C425" s="6" t="s">
        <v>467</v>
      </c>
      <c r="D425" s="6" t="s">
        <v>468</v>
      </c>
      <c r="E425" s="6"/>
      <c r="F425" s="6" t="s">
        <v>470</v>
      </c>
      <c r="G425" s="6" t="s">
        <v>436</v>
      </c>
      <c r="H425" s="6" t="s">
        <v>779</v>
      </c>
      <c r="I425" s="6">
        <v>-0.56999999999999995</v>
      </c>
      <c r="J425" s="6">
        <v>-0.56999999999999995</v>
      </c>
      <c r="K425" s="6">
        <v>-0.56999999999999995</v>
      </c>
      <c r="L425" s="13" t="s">
        <v>204</v>
      </c>
    </row>
    <row r="426" spans="1:12" x14ac:dyDescent="0.45">
      <c r="A426" s="6" t="s">
        <v>743</v>
      </c>
      <c r="B426" s="6"/>
      <c r="C426" s="6" t="s">
        <v>467</v>
      </c>
      <c r="D426" s="6" t="s">
        <v>468</v>
      </c>
      <c r="E426" s="6"/>
      <c r="F426" s="6" t="s">
        <v>470</v>
      </c>
      <c r="G426" s="6" t="s">
        <v>436</v>
      </c>
      <c r="H426" s="6" t="s">
        <v>780</v>
      </c>
      <c r="I426" s="6">
        <v>0</v>
      </c>
      <c r="J426" s="6">
        <v>0</v>
      </c>
      <c r="K426" s="6">
        <v>0</v>
      </c>
      <c r="L426" s="13" t="s">
        <v>204</v>
      </c>
    </row>
    <row r="427" spans="1:12" x14ac:dyDescent="0.45">
      <c r="A427" s="6" t="s">
        <v>743</v>
      </c>
      <c r="B427" s="6"/>
      <c r="C427" s="6" t="s">
        <v>467</v>
      </c>
      <c r="D427" s="6" t="s">
        <v>468</v>
      </c>
      <c r="E427" s="6"/>
      <c r="F427" s="6" t="s">
        <v>470</v>
      </c>
      <c r="G427" s="6" t="s">
        <v>436</v>
      </c>
      <c r="H427" s="6" t="s">
        <v>781</v>
      </c>
      <c r="I427" s="6">
        <v>0</v>
      </c>
      <c r="J427" s="6">
        <v>0</v>
      </c>
      <c r="K427" s="6">
        <v>0</v>
      </c>
      <c r="L427" s="13" t="s">
        <v>204</v>
      </c>
    </row>
    <row r="428" spans="1:12" x14ac:dyDescent="0.45">
      <c r="A428" s="6" t="s">
        <v>743</v>
      </c>
      <c r="B428" s="6"/>
      <c r="C428" s="6" t="s">
        <v>467</v>
      </c>
      <c r="D428" s="6" t="s">
        <v>468</v>
      </c>
      <c r="E428" s="6"/>
      <c r="F428" s="6" t="s">
        <v>470</v>
      </c>
      <c r="G428" s="6" t="s">
        <v>436</v>
      </c>
      <c r="H428" s="6" t="s">
        <v>782</v>
      </c>
      <c r="I428" s="6">
        <v>-0.4</v>
      </c>
      <c r="J428" s="6">
        <v>-0.4</v>
      </c>
      <c r="K428" s="6">
        <v>-0.4</v>
      </c>
      <c r="L428" s="13" t="s">
        <v>204</v>
      </c>
    </row>
    <row r="429" spans="1:12" x14ac:dyDescent="0.45">
      <c r="A429" s="6" t="s">
        <v>743</v>
      </c>
      <c r="B429" s="6"/>
      <c r="C429" s="6" t="s">
        <v>467</v>
      </c>
      <c r="D429" s="6" t="s">
        <v>468</v>
      </c>
      <c r="E429" s="6"/>
      <c r="F429" s="6" t="s">
        <v>470</v>
      </c>
      <c r="G429" s="6" t="s">
        <v>436</v>
      </c>
      <c r="H429" s="6" t="s">
        <v>783</v>
      </c>
      <c r="I429" s="6">
        <v>-0.2</v>
      </c>
      <c r="J429" s="6">
        <v>-0.2</v>
      </c>
      <c r="K429" s="6">
        <v>-0.2</v>
      </c>
      <c r="L429" s="13" t="s">
        <v>204</v>
      </c>
    </row>
    <row r="430" spans="1:12" x14ac:dyDescent="0.45">
      <c r="A430" s="6" t="s">
        <v>743</v>
      </c>
      <c r="B430" s="6"/>
      <c r="C430" s="6" t="s">
        <v>467</v>
      </c>
      <c r="D430" s="6" t="s">
        <v>468</v>
      </c>
      <c r="E430" s="6"/>
      <c r="F430" s="6" t="s">
        <v>470</v>
      </c>
      <c r="G430" s="6" t="s">
        <v>436</v>
      </c>
      <c r="H430" s="6" t="s">
        <v>784</v>
      </c>
      <c r="I430" s="6">
        <v>-0.56999999999999995</v>
      </c>
      <c r="J430" s="6">
        <v>-0.56999999999999995</v>
      </c>
      <c r="K430" s="6">
        <v>-0.56999999999999995</v>
      </c>
      <c r="L430" s="13" t="s">
        <v>204</v>
      </c>
    </row>
    <row r="431" spans="1:12" x14ac:dyDescent="0.45">
      <c r="A431" s="6" t="s">
        <v>743</v>
      </c>
      <c r="B431" s="6"/>
      <c r="C431" s="6" t="s">
        <v>467</v>
      </c>
      <c r="D431" s="6" t="s">
        <v>468</v>
      </c>
      <c r="E431" s="6"/>
      <c r="F431" s="6" t="s">
        <v>470</v>
      </c>
      <c r="G431" s="6" t="s">
        <v>436</v>
      </c>
      <c r="H431" s="6" t="s">
        <v>785</v>
      </c>
      <c r="I431" s="6">
        <v>0</v>
      </c>
      <c r="J431" s="6">
        <v>0</v>
      </c>
      <c r="K431" s="6">
        <v>0</v>
      </c>
      <c r="L431" s="13" t="s">
        <v>204</v>
      </c>
    </row>
    <row r="432" spans="1:12" x14ac:dyDescent="0.45">
      <c r="A432" s="6" t="s">
        <v>743</v>
      </c>
      <c r="B432" s="6"/>
      <c r="C432" s="6" t="s">
        <v>467</v>
      </c>
      <c r="D432" s="6" t="s">
        <v>468</v>
      </c>
      <c r="E432" s="6"/>
      <c r="F432" s="6" t="s">
        <v>470</v>
      </c>
      <c r="G432" s="6" t="s">
        <v>436</v>
      </c>
      <c r="H432" s="6" t="s">
        <v>786</v>
      </c>
      <c r="I432" s="6">
        <v>0</v>
      </c>
      <c r="J432" s="6">
        <v>0</v>
      </c>
      <c r="K432" s="6">
        <v>0</v>
      </c>
      <c r="L432" s="13" t="s">
        <v>204</v>
      </c>
    </row>
    <row r="433" spans="1:12" x14ac:dyDescent="0.45">
      <c r="A433" s="6" t="s">
        <v>743</v>
      </c>
      <c r="B433" s="6"/>
      <c r="C433" s="6" t="s">
        <v>467</v>
      </c>
      <c r="D433" s="6" t="s">
        <v>468</v>
      </c>
      <c r="E433" s="6"/>
      <c r="F433" s="6" t="s">
        <v>470</v>
      </c>
      <c r="G433" s="6" t="s">
        <v>436</v>
      </c>
      <c r="H433" s="6" t="s">
        <v>787</v>
      </c>
      <c r="I433" s="6">
        <v>0</v>
      </c>
      <c r="J433" s="6">
        <v>0</v>
      </c>
      <c r="K433" s="6">
        <v>0</v>
      </c>
      <c r="L433" s="13" t="s">
        <v>204</v>
      </c>
    </row>
    <row r="434" spans="1:12" x14ac:dyDescent="0.45">
      <c r="A434" s="6" t="s">
        <v>743</v>
      </c>
      <c r="B434" s="6"/>
      <c r="C434" s="6" t="s">
        <v>467</v>
      </c>
      <c r="D434" s="6" t="s">
        <v>468</v>
      </c>
      <c r="E434" s="6"/>
      <c r="F434" s="6" t="s">
        <v>470</v>
      </c>
      <c r="G434" s="6" t="s">
        <v>436</v>
      </c>
      <c r="H434" s="6" t="s">
        <v>788</v>
      </c>
      <c r="I434" s="6">
        <v>0</v>
      </c>
      <c r="J434" s="6">
        <v>0</v>
      </c>
      <c r="K434" s="6">
        <v>0</v>
      </c>
      <c r="L434" s="13" t="s">
        <v>204</v>
      </c>
    </row>
    <row r="435" spans="1:12" x14ac:dyDescent="0.45">
      <c r="A435" s="6" t="s">
        <v>743</v>
      </c>
      <c r="B435" s="6"/>
      <c r="C435" s="6" t="s">
        <v>467</v>
      </c>
      <c r="D435" s="6" t="s">
        <v>468</v>
      </c>
      <c r="E435" s="6"/>
      <c r="F435" s="6" t="s">
        <v>470</v>
      </c>
      <c r="G435" s="6" t="s">
        <v>436</v>
      </c>
      <c r="H435" s="6" t="s">
        <v>789</v>
      </c>
      <c r="I435" s="6">
        <v>0</v>
      </c>
      <c r="J435" s="6">
        <v>0</v>
      </c>
      <c r="K435" s="6">
        <v>0</v>
      </c>
      <c r="L435" s="13" t="s">
        <v>204</v>
      </c>
    </row>
    <row r="436" spans="1:12" x14ac:dyDescent="0.45">
      <c r="A436" s="6" t="s">
        <v>466</v>
      </c>
      <c r="B436" s="6"/>
      <c r="C436" s="6" t="s">
        <v>467</v>
      </c>
      <c r="D436" s="6" t="s">
        <v>468</v>
      </c>
      <c r="E436" s="6" t="s">
        <v>469</v>
      </c>
      <c r="F436" s="6" t="s">
        <v>470</v>
      </c>
      <c r="G436" s="6" t="s">
        <v>436</v>
      </c>
      <c r="H436" s="6" t="s">
        <v>790</v>
      </c>
      <c r="I436" s="6">
        <v>0</v>
      </c>
      <c r="J436" s="6">
        <v>0</v>
      </c>
      <c r="K436" s="6">
        <v>0</v>
      </c>
      <c r="L436" s="13" t="s">
        <v>204</v>
      </c>
    </row>
    <row r="437" spans="1:12" x14ac:dyDescent="0.45">
      <c r="A437" s="6" t="s">
        <v>466</v>
      </c>
      <c r="B437" s="6"/>
      <c r="C437" s="6" t="s">
        <v>467</v>
      </c>
      <c r="D437" s="6" t="s">
        <v>468</v>
      </c>
      <c r="E437" s="6" t="s">
        <v>469</v>
      </c>
      <c r="F437" s="6" t="s">
        <v>470</v>
      </c>
      <c r="G437" s="6" t="s">
        <v>436</v>
      </c>
      <c r="H437" s="6" t="s">
        <v>791</v>
      </c>
      <c r="I437" s="6">
        <v>0</v>
      </c>
      <c r="J437" s="6">
        <v>0</v>
      </c>
      <c r="K437" s="6">
        <v>0</v>
      </c>
      <c r="L437" s="13" t="s">
        <v>204</v>
      </c>
    </row>
    <row r="438" spans="1:12" x14ac:dyDescent="0.45">
      <c r="A438" s="6" t="s">
        <v>743</v>
      </c>
      <c r="B438" s="6"/>
      <c r="C438" s="6" t="s">
        <v>467</v>
      </c>
      <c r="D438" s="6" t="s">
        <v>468</v>
      </c>
      <c r="E438" s="6"/>
      <c r="F438" s="6" t="s">
        <v>470</v>
      </c>
      <c r="G438" s="6" t="s">
        <v>436</v>
      </c>
      <c r="H438" s="6" t="s">
        <v>792</v>
      </c>
      <c r="I438" s="6">
        <v>0</v>
      </c>
      <c r="J438" s="6">
        <v>0</v>
      </c>
      <c r="K438" s="6">
        <v>0</v>
      </c>
      <c r="L438" s="13" t="s">
        <v>204</v>
      </c>
    </row>
    <row r="439" spans="1:12" x14ac:dyDescent="0.45">
      <c r="A439" s="6" t="s">
        <v>466</v>
      </c>
      <c r="B439" s="6"/>
      <c r="C439" s="6" t="s">
        <v>467</v>
      </c>
      <c r="D439" s="6" t="s">
        <v>468</v>
      </c>
      <c r="E439" s="6" t="s">
        <v>469</v>
      </c>
      <c r="F439" s="6" t="s">
        <v>470</v>
      </c>
      <c r="G439" s="6" t="s">
        <v>436</v>
      </c>
      <c r="H439" s="6" t="s">
        <v>793</v>
      </c>
      <c r="I439" s="6">
        <v>0</v>
      </c>
      <c r="J439" s="6">
        <v>0</v>
      </c>
      <c r="K439" s="6">
        <v>0</v>
      </c>
      <c r="L439" s="13" t="s">
        <v>204</v>
      </c>
    </row>
    <row r="440" spans="1:12" x14ac:dyDescent="0.45">
      <c r="A440" s="6" t="s">
        <v>743</v>
      </c>
      <c r="B440" s="6"/>
      <c r="C440" s="6" t="s">
        <v>467</v>
      </c>
      <c r="D440" s="6" t="s">
        <v>468</v>
      </c>
      <c r="E440" s="6"/>
      <c r="F440" s="6" t="s">
        <v>470</v>
      </c>
      <c r="G440" s="6" t="s">
        <v>436</v>
      </c>
      <c r="H440" s="6" t="s">
        <v>794</v>
      </c>
      <c r="I440" s="6">
        <v>0</v>
      </c>
      <c r="J440" s="6">
        <v>0</v>
      </c>
      <c r="K440" s="6">
        <v>0</v>
      </c>
      <c r="L440" s="13" t="s">
        <v>204</v>
      </c>
    </row>
  </sheetData>
  <autoFilter ref="A1:L440" xr:uid="{01AEF1F9-0CEE-2F40-80D2-A0E7C144BE8D}"/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5B63-41DD-4CA2-B97F-DE91DA0B0699}">
  <sheetPr>
    <tabColor theme="7" tint="0.59999389629810485"/>
  </sheetPr>
  <dimension ref="A1:R81"/>
  <sheetViews>
    <sheetView topLeftCell="A46" zoomScale="101" workbookViewId="0">
      <selection activeCell="M52" sqref="M52:M55"/>
    </sheetView>
  </sheetViews>
  <sheetFormatPr defaultColWidth="8.73046875" defaultRowHeight="14.25" x14ac:dyDescent="0.45"/>
  <cols>
    <col min="1" max="1" width="13" customWidth="1"/>
  </cols>
  <sheetData>
    <row r="1" spans="1:18" x14ac:dyDescent="0.45">
      <c r="A1" s="6" t="s">
        <v>795</v>
      </c>
      <c r="B1" s="6" t="s">
        <v>796</v>
      </c>
      <c r="C1" s="13" t="s">
        <v>797</v>
      </c>
      <c r="D1" s="13" t="s">
        <v>798</v>
      </c>
      <c r="E1" s="13" t="s">
        <v>799</v>
      </c>
      <c r="F1" s="13" t="s">
        <v>800</v>
      </c>
      <c r="G1" s="13" t="s">
        <v>801</v>
      </c>
      <c r="H1" s="13" t="s">
        <v>802</v>
      </c>
      <c r="I1" s="13" t="s">
        <v>803</v>
      </c>
      <c r="J1" s="13" t="s">
        <v>804</v>
      </c>
      <c r="K1" s="13" t="s">
        <v>805</v>
      </c>
      <c r="L1" s="13" t="s">
        <v>806</v>
      </c>
      <c r="M1" s="13" t="s">
        <v>807</v>
      </c>
      <c r="N1" s="13" t="s">
        <v>808</v>
      </c>
      <c r="O1" s="6"/>
      <c r="P1" s="6"/>
      <c r="Q1" s="6"/>
      <c r="R1" s="6"/>
    </row>
    <row r="2" spans="1:18" x14ac:dyDescent="0.45">
      <c r="A2" s="6" t="s">
        <v>6</v>
      </c>
      <c r="B2" s="6">
        <v>1</v>
      </c>
      <c r="C2" s="6">
        <v>1</v>
      </c>
      <c r="D2" s="6" t="s">
        <v>809</v>
      </c>
      <c r="E2" s="6">
        <v>2134</v>
      </c>
      <c r="F2" s="6">
        <v>60000</v>
      </c>
      <c r="G2" s="6">
        <v>1</v>
      </c>
      <c r="H2" s="6" t="s">
        <v>810</v>
      </c>
      <c r="I2" s="6">
        <v>27425</v>
      </c>
      <c r="J2" s="6">
        <v>100000</v>
      </c>
      <c r="K2" s="6">
        <v>10</v>
      </c>
      <c r="L2" s="6" t="s">
        <v>811</v>
      </c>
      <c r="M2" s="6">
        <v>0</v>
      </c>
      <c r="N2" s="6">
        <v>0</v>
      </c>
      <c r="O2" s="6"/>
      <c r="P2" s="6"/>
      <c r="Q2" s="6"/>
      <c r="R2" s="6"/>
    </row>
    <row r="3" spans="1:18" x14ac:dyDescent="0.45">
      <c r="A3" s="6" t="s">
        <v>6</v>
      </c>
      <c r="B3" s="6">
        <v>2</v>
      </c>
      <c r="C3" s="6">
        <v>2</v>
      </c>
      <c r="D3" s="6" t="s">
        <v>812</v>
      </c>
      <c r="E3" s="6">
        <v>4463</v>
      </c>
      <c r="F3" s="6">
        <v>60000</v>
      </c>
      <c r="G3" s="6">
        <v>2</v>
      </c>
      <c r="H3" s="6" t="s">
        <v>813</v>
      </c>
      <c r="I3" s="6">
        <v>26457</v>
      </c>
      <c r="J3" s="6">
        <v>100000</v>
      </c>
      <c r="K3" s="6">
        <v>11</v>
      </c>
      <c r="L3" s="6" t="s">
        <v>814</v>
      </c>
      <c r="M3" s="6">
        <v>0</v>
      </c>
      <c r="N3" s="6">
        <v>0</v>
      </c>
      <c r="O3" s="6"/>
      <c r="P3" s="6"/>
      <c r="Q3" s="6"/>
      <c r="R3" s="6"/>
    </row>
    <row r="4" spans="1:18" x14ac:dyDescent="0.45">
      <c r="A4" s="6" t="s">
        <v>6</v>
      </c>
      <c r="B4" s="6">
        <v>3</v>
      </c>
      <c r="C4" s="6">
        <v>3</v>
      </c>
      <c r="D4" s="6" t="s">
        <v>815</v>
      </c>
      <c r="E4" s="6">
        <v>8139</v>
      </c>
      <c r="F4" s="6">
        <v>60000</v>
      </c>
      <c r="G4" s="6">
        <v>3</v>
      </c>
      <c r="H4" s="6" t="s">
        <v>816</v>
      </c>
      <c r="I4" s="6">
        <v>16587</v>
      </c>
      <c r="J4" s="6">
        <v>100000</v>
      </c>
      <c r="K4" s="6">
        <v>12</v>
      </c>
      <c r="L4" s="6" t="s">
        <v>817</v>
      </c>
      <c r="M4" s="6">
        <v>0</v>
      </c>
      <c r="N4" s="6">
        <v>0</v>
      </c>
      <c r="O4" s="6"/>
      <c r="P4" s="6"/>
      <c r="Q4" s="6"/>
      <c r="R4" s="6"/>
    </row>
    <row r="5" spans="1:18" x14ac:dyDescent="0.45">
      <c r="A5" s="6" t="s">
        <v>6</v>
      </c>
      <c r="B5" s="6">
        <v>4</v>
      </c>
      <c r="C5" s="6">
        <v>4</v>
      </c>
      <c r="D5" s="6" t="s">
        <v>818</v>
      </c>
      <c r="E5" s="6">
        <v>7844</v>
      </c>
      <c r="F5" s="6">
        <v>60000</v>
      </c>
      <c r="G5" s="6">
        <v>4</v>
      </c>
      <c r="H5" s="6" t="s">
        <v>819</v>
      </c>
      <c r="I5" s="6">
        <v>13829</v>
      </c>
      <c r="J5" s="6">
        <v>100000</v>
      </c>
      <c r="K5" s="6">
        <v>20</v>
      </c>
      <c r="L5" s="6" t="s">
        <v>820</v>
      </c>
      <c r="M5" s="6">
        <v>0</v>
      </c>
      <c r="N5" s="6">
        <v>0</v>
      </c>
      <c r="O5" s="6"/>
      <c r="P5" s="6"/>
      <c r="Q5" s="6"/>
      <c r="R5" s="6"/>
    </row>
    <row r="6" spans="1:18" x14ac:dyDescent="0.45">
      <c r="A6" s="6" t="s">
        <v>6</v>
      </c>
      <c r="B6" s="6">
        <v>5</v>
      </c>
      <c r="C6" s="6">
        <v>5</v>
      </c>
      <c r="D6" s="6" t="s">
        <v>821</v>
      </c>
      <c r="E6" s="6">
        <v>2203</v>
      </c>
      <c r="F6" s="6">
        <v>60000</v>
      </c>
      <c r="G6" s="6">
        <v>5</v>
      </c>
      <c r="H6" s="6" t="s">
        <v>822</v>
      </c>
      <c r="I6" s="6">
        <v>20244</v>
      </c>
      <c r="J6" s="6">
        <v>100000</v>
      </c>
      <c r="K6" s="6">
        <v>21</v>
      </c>
      <c r="L6" s="6" t="s">
        <v>823</v>
      </c>
      <c r="M6" s="6">
        <v>0</v>
      </c>
      <c r="N6" s="6">
        <v>0</v>
      </c>
      <c r="O6" s="6"/>
      <c r="P6" s="6"/>
      <c r="Q6" s="6"/>
      <c r="R6" s="6"/>
    </row>
    <row r="7" spans="1:18" x14ac:dyDescent="0.45">
      <c r="A7" s="6" t="s">
        <v>6</v>
      </c>
      <c r="B7" s="6">
        <v>6</v>
      </c>
      <c r="C7" s="6">
        <v>6</v>
      </c>
      <c r="D7" s="6" t="s">
        <v>824</v>
      </c>
      <c r="E7" s="6">
        <v>59</v>
      </c>
      <c r="F7" s="6">
        <v>60000</v>
      </c>
      <c r="G7" s="6">
        <v>6</v>
      </c>
      <c r="H7" s="6" t="s">
        <v>825</v>
      </c>
      <c r="I7" s="6">
        <v>23740</v>
      </c>
      <c r="J7" s="6">
        <v>100000</v>
      </c>
      <c r="K7" s="6">
        <v>22</v>
      </c>
      <c r="L7" s="6" t="s">
        <v>826</v>
      </c>
      <c r="M7" s="6">
        <v>0</v>
      </c>
      <c r="N7" s="6">
        <v>0</v>
      </c>
      <c r="O7" s="6"/>
      <c r="P7" s="6"/>
      <c r="Q7" s="6"/>
      <c r="R7" s="6"/>
    </row>
    <row r="8" spans="1:18" x14ac:dyDescent="0.45">
      <c r="A8" s="6" t="s">
        <v>6</v>
      </c>
      <c r="B8" s="6">
        <v>7</v>
      </c>
      <c r="C8" s="6">
        <v>7</v>
      </c>
      <c r="D8" s="6" t="s">
        <v>827</v>
      </c>
      <c r="E8" s="6">
        <v>16</v>
      </c>
      <c r="F8" s="6">
        <v>60000</v>
      </c>
      <c r="G8" s="6">
        <v>7</v>
      </c>
      <c r="H8" s="6" t="s">
        <v>828</v>
      </c>
      <c r="I8" s="6">
        <v>29797</v>
      </c>
      <c r="J8" s="6">
        <v>100000</v>
      </c>
      <c r="K8" s="6">
        <v>23</v>
      </c>
      <c r="L8" s="6" t="s">
        <v>829</v>
      </c>
      <c r="M8" s="6">
        <v>0</v>
      </c>
      <c r="N8" s="6">
        <v>0</v>
      </c>
      <c r="O8" s="6"/>
      <c r="P8" s="6"/>
      <c r="Q8" s="6"/>
      <c r="R8" s="6"/>
    </row>
    <row r="9" spans="1:18" x14ac:dyDescent="0.45">
      <c r="A9" s="6" t="s">
        <v>6</v>
      </c>
      <c r="B9" s="6">
        <v>8</v>
      </c>
      <c r="C9" s="6">
        <v>8</v>
      </c>
      <c r="D9" s="6" t="s">
        <v>830</v>
      </c>
      <c r="E9" s="6">
        <v>15</v>
      </c>
      <c r="F9" s="6">
        <v>60000</v>
      </c>
      <c r="G9" s="6">
        <v>8</v>
      </c>
      <c r="H9" s="6" t="s">
        <v>831</v>
      </c>
      <c r="I9" s="6">
        <v>7353</v>
      </c>
      <c r="J9" s="6">
        <v>100000</v>
      </c>
      <c r="K9" s="6">
        <v>24</v>
      </c>
      <c r="L9" s="6" t="s">
        <v>832</v>
      </c>
      <c r="M9" s="6">
        <v>0</v>
      </c>
      <c r="N9" s="6">
        <v>0</v>
      </c>
      <c r="O9" s="6"/>
      <c r="P9" s="6"/>
      <c r="Q9" s="6"/>
      <c r="R9" s="6"/>
    </row>
    <row r="10" spans="1:18" x14ac:dyDescent="0.45">
      <c r="A10" s="6" t="s">
        <v>6</v>
      </c>
      <c r="B10" s="6">
        <v>9</v>
      </c>
      <c r="C10" s="6">
        <v>9</v>
      </c>
      <c r="D10" s="6" t="s">
        <v>833</v>
      </c>
      <c r="E10" s="6">
        <v>0</v>
      </c>
      <c r="F10" s="6">
        <v>60000</v>
      </c>
      <c r="G10" s="6">
        <v>9</v>
      </c>
      <c r="H10" s="6" t="s">
        <v>834</v>
      </c>
      <c r="I10" s="6">
        <v>24398</v>
      </c>
      <c r="J10" s="6">
        <v>100000</v>
      </c>
      <c r="K10" s="6">
        <v>80</v>
      </c>
      <c r="L10" s="6" t="s">
        <v>835</v>
      </c>
      <c r="M10" s="6">
        <v>0</v>
      </c>
      <c r="N10" s="6">
        <v>0</v>
      </c>
      <c r="O10" s="6"/>
      <c r="P10" s="6"/>
      <c r="Q10" s="6"/>
      <c r="R10" s="6"/>
    </row>
    <row r="11" spans="1:18" x14ac:dyDescent="0.45">
      <c r="A11" s="6" t="s">
        <v>6</v>
      </c>
      <c r="B11" s="6">
        <v>10</v>
      </c>
      <c r="C11" s="6">
        <v>10</v>
      </c>
      <c r="D11" s="6" t="s">
        <v>836</v>
      </c>
      <c r="E11" s="6">
        <v>5115</v>
      </c>
      <c r="F11" s="6">
        <v>60000</v>
      </c>
      <c r="G11" s="6">
        <v>10</v>
      </c>
      <c r="H11" s="6" t="s">
        <v>837</v>
      </c>
      <c r="I11" s="6">
        <v>27377</v>
      </c>
      <c r="J11" s="6">
        <v>100000</v>
      </c>
      <c r="K11" s="6">
        <v>81</v>
      </c>
      <c r="L11" s="6" t="s">
        <v>838</v>
      </c>
      <c r="M11" s="6">
        <v>0</v>
      </c>
      <c r="N11" s="6">
        <v>0</v>
      </c>
      <c r="O11" s="6"/>
      <c r="P11" s="6"/>
      <c r="Q11" s="6"/>
      <c r="R11" s="6"/>
    </row>
    <row r="12" spans="1:18" x14ac:dyDescent="0.45">
      <c r="A12" s="6" t="s">
        <v>6</v>
      </c>
      <c r="B12" s="6">
        <v>11</v>
      </c>
      <c r="C12" s="6">
        <v>11</v>
      </c>
      <c r="D12" s="6" t="s">
        <v>839</v>
      </c>
      <c r="E12" s="6">
        <v>1</v>
      </c>
      <c r="F12" s="6">
        <v>60000</v>
      </c>
      <c r="G12" s="6">
        <v>11</v>
      </c>
      <c r="H12" s="6" t="s">
        <v>840</v>
      </c>
      <c r="I12" s="6">
        <v>9517</v>
      </c>
      <c r="J12" s="6">
        <v>100000</v>
      </c>
      <c r="K12" s="6">
        <v>82</v>
      </c>
      <c r="L12" s="6" t="s">
        <v>841</v>
      </c>
      <c r="M12" s="6">
        <v>0</v>
      </c>
      <c r="N12" s="6">
        <v>0</v>
      </c>
      <c r="O12" s="6"/>
      <c r="P12" s="6"/>
      <c r="Q12" s="6"/>
      <c r="R12" s="6"/>
    </row>
    <row r="13" spans="1:18" x14ac:dyDescent="0.45">
      <c r="A13" s="6" t="s">
        <v>6</v>
      </c>
      <c r="B13" s="6">
        <v>12</v>
      </c>
      <c r="C13" s="6">
        <v>12</v>
      </c>
      <c r="D13" s="6" t="s">
        <v>842</v>
      </c>
      <c r="E13" s="6">
        <v>0</v>
      </c>
      <c r="F13" s="6">
        <v>60000</v>
      </c>
      <c r="G13" s="6">
        <v>12</v>
      </c>
      <c r="H13" s="6" t="s">
        <v>843</v>
      </c>
      <c r="I13" s="6">
        <v>17218</v>
      </c>
      <c r="J13" s="6">
        <v>100000</v>
      </c>
      <c r="K13" s="6">
        <v>83</v>
      </c>
      <c r="L13" s="6" t="s">
        <v>844</v>
      </c>
      <c r="M13" s="6">
        <v>1633</v>
      </c>
      <c r="N13" s="6">
        <v>24000</v>
      </c>
      <c r="O13" s="6"/>
      <c r="P13" s="6"/>
      <c r="Q13" s="6"/>
      <c r="R13" s="6"/>
    </row>
    <row r="14" spans="1:18" x14ac:dyDescent="0.45">
      <c r="A14" s="6" t="s">
        <v>6</v>
      </c>
      <c r="B14" s="6">
        <v>13</v>
      </c>
      <c r="C14" s="6">
        <v>13</v>
      </c>
      <c r="D14" s="6" t="s">
        <v>845</v>
      </c>
      <c r="E14" s="6">
        <v>260</v>
      </c>
      <c r="F14" s="6">
        <v>60000</v>
      </c>
      <c r="G14" s="6">
        <v>13</v>
      </c>
      <c r="H14" s="6" t="s">
        <v>846</v>
      </c>
      <c r="I14" s="6">
        <v>4758</v>
      </c>
      <c r="J14" s="6">
        <v>100000</v>
      </c>
      <c r="K14" s="6">
        <v>84</v>
      </c>
      <c r="L14" s="6" t="s">
        <v>847</v>
      </c>
      <c r="M14" s="6">
        <v>1281</v>
      </c>
      <c r="N14" s="6">
        <v>36000</v>
      </c>
      <c r="O14" s="6"/>
      <c r="P14" s="6"/>
      <c r="Q14" s="6"/>
      <c r="R14" s="6"/>
    </row>
    <row r="15" spans="1:18" x14ac:dyDescent="0.45">
      <c r="A15" s="6" t="s">
        <v>6</v>
      </c>
      <c r="B15" s="6">
        <v>14</v>
      </c>
      <c r="C15" s="6"/>
      <c r="D15" s="6"/>
      <c r="E15" s="6"/>
      <c r="F15" s="6"/>
      <c r="G15" s="6">
        <v>14</v>
      </c>
      <c r="H15" s="6" t="s">
        <v>848</v>
      </c>
      <c r="I15" s="6">
        <v>15321</v>
      </c>
      <c r="J15" s="6">
        <v>100000</v>
      </c>
      <c r="K15" s="6">
        <v>85</v>
      </c>
      <c r="L15" s="6" t="s">
        <v>849</v>
      </c>
      <c r="M15" s="6">
        <v>999</v>
      </c>
      <c r="N15" s="6">
        <v>24000</v>
      </c>
      <c r="O15" s="6"/>
      <c r="P15" s="6"/>
      <c r="Q15" s="6"/>
      <c r="R15" s="6"/>
    </row>
    <row r="16" spans="1:18" x14ac:dyDescent="0.45">
      <c r="A16" s="6" t="s">
        <v>6</v>
      </c>
      <c r="B16" s="6">
        <v>15</v>
      </c>
      <c r="C16" s="6"/>
      <c r="D16" s="6"/>
      <c r="E16" s="6"/>
      <c r="F16" s="6"/>
      <c r="G16" s="6"/>
      <c r="H16" s="6"/>
      <c r="I16" s="6"/>
      <c r="J16" s="6"/>
      <c r="K16" s="6">
        <v>86</v>
      </c>
      <c r="L16" s="6" t="s">
        <v>850</v>
      </c>
      <c r="M16" s="6">
        <v>1083</v>
      </c>
      <c r="N16" s="6">
        <v>24000</v>
      </c>
      <c r="O16" s="6"/>
      <c r="P16" s="6"/>
      <c r="Q16" s="6"/>
      <c r="R16" s="6"/>
    </row>
    <row r="17" spans="1:18" x14ac:dyDescent="0.45">
      <c r="A17" s="6" t="s">
        <v>6</v>
      </c>
      <c r="B17" s="6">
        <v>16</v>
      </c>
      <c r="C17" s="6"/>
      <c r="D17" s="6"/>
      <c r="E17" s="6"/>
      <c r="F17" s="6"/>
      <c r="G17" s="6"/>
      <c r="H17" s="6"/>
      <c r="I17" s="6"/>
      <c r="J17" s="6"/>
      <c r="K17" s="6">
        <v>30</v>
      </c>
      <c r="L17" s="6" t="s">
        <v>851</v>
      </c>
      <c r="M17" s="6">
        <v>0</v>
      </c>
      <c r="N17" s="6">
        <v>0</v>
      </c>
      <c r="O17" s="6"/>
      <c r="P17" s="6"/>
      <c r="Q17" s="6"/>
      <c r="R17" s="6"/>
    </row>
    <row r="18" spans="1:18" x14ac:dyDescent="0.45">
      <c r="A18" s="6" t="s">
        <v>6</v>
      </c>
      <c r="B18" s="6">
        <v>17</v>
      </c>
      <c r="C18" s="6"/>
      <c r="D18" s="6"/>
      <c r="E18" s="6"/>
      <c r="F18" s="6"/>
      <c r="G18" s="6"/>
      <c r="H18" s="6"/>
      <c r="I18" s="6"/>
      <c r="J18" s="6"/>
      <c r="K18" s="6">
        <v>31</v>
      </c>
      <c r="L18" s="6" t="s">
        <v>852</v>
      </c>
      <c r="M18" s="6">
        <v>0</v>
      </c>
      <c r="N18" s="6">
        <v>0</v>
      </c>
      <c r="O18" s="6"/>
      <c r="P18" s="6"/>
      <c r="Q18" s="6"/>
      <c r="R18" s="6"/>
    </row>
    <row r="19" spans="1:18" x14ac:dyDescent="0.45">
      <c r="A19" s="6" t="s">
        <v>6</v>
      </c>
      <c r="B19" s="6">
        <v>18</v>
      </c>
      <c r="C19" s="6"/>
      <c r="D19" s="6"/>
      <c r="E19" s="6"/>
      <c r="F19" s="6"/>
      <c r="G19" s="6"/>
      <c r="H19" s="6"/>
      <c r="I19" s="6"/>
      <c r="J19" s="6"/>
      <c r="K19" s="6">
        <v>32</v>
      </c>
      <c r="L19" s="6" t="s">
        <v>853</v>
      </c>
      <c r="M19" s="6">
        <v>0</v>
      </c>
      <c r="N19" s="6">
        <v>0</v>
      </c>
      <c r="O19" s="6"/>
      <c r="P19" s="6"/>
      <c r="Q19" s="6"/>
      <c r="R19" s="6"/>
    </row>
    <row r="20" spans="1:18" x14ac:dyDescent="0.45">
      <c r="A20" s="6" t="s">
        <v>6</v>
      </c>
      <c r="B20" s="6">
        <v>19</v>
      </c>
      <c r="C20" s="6"/>
      <c r="D20" s="6"/>
      <c r="E20" s="6"/>
      <c r="F20" s="6"/>
      <c r="G20" s="6"/>
      <c r="H20" s="6"/>
      <c r="I20" s="6"/>
      <c r="J20" s="6"/>
      <c r="K20" s="6">
        <v>33</v>
      </c>
      <c r="L20" s="6" t="s">
        <v>854</v>
      </c>
      <c r="M20" s="6">
        <v>0</v>
      </c>
      <c r="N20" s="6">
        <v>0</v>
      </c>
      <c r="O20" s="6"/>
      <c r="P20" s="6"/>
      <c r="Q20" s="6"/>
      <c r="R20" s="6"/>
    </row>
    <row r="21" spans="1:18" x14ac:dyDescent="0.45">
      <c r="A21" s="6" t="s">
        <v>6</v>
      </c>
      <c r="B21" s="6">
        <v>20</v>
      </c>
      <c r="C21" s="6"/>
      <c r="D21" s="6"/>
      <c r="E21" s="6"/>
      <c r="F21" s="6"/>
      <c r="G21" s="6"/>
      <c r="H21" s="6"/>
      <c r="I21" s="6"/>
      <c r="J21" s="6"/>
      <c r="K21" s="6">
        <v>34</v>
      </c>
      <c r="L21" s="6" t="s">
        <v>855</v>
      </c>
      <c r="M21" s="6">
        <v>433</v>
      </c>
      <c r="N21" s="6">
        <v>24000</v>
      </c>
      <c r="O21" s="6"/>
      <c r="P21" s="6"/>
      <c r="Q21" s="6"/>
      <c r="R21" s="6"/>
    </row>
    <row r="22" spans="1:18" x14ac:dyDescent="0.45">
      <c r="A22" s="6" t="s">
        <v>6</v>
      </c>
      <c r="B22" s="6">
        <v>21</v>
      </c>
      <c r="C22" s="6"/>
      <c r="D22" s="6"/>
      <c r="E22" s="6"/>
      <c r="F22" s="6"/>
      <c r="G22" s="6"/>
      <c r="H22" s="6"/>
      <c r="I22" s="6"/>
      <c r="J22" s="6"/>
      <c r="K22" s="6">
        <v>35</v>
      </c>
      <c r="L22" s="6" t="s">
        <v>856</v>
      </c>
      <c r="M22" s="6">
        <v>755</v>
      </c>
      <c r="N22" s="6">
        <v>36000</v>
      </c>
      <c r="O22" s="6"/>
      <c r="P22" s="6"/>
      <c r="Q22" s="6"/>
      <c r="R22" s="6"/>
    </row>
    <row r="23" spans="1:18" x14ac:dyDescent="0.45">
      <c r="A23" s="6" t="s">
        <v>6</v>
      </c>
      <c r="B23" s="6">
        <v>22</v>
      </c>
      <c r="C23" s="6"/>
      <c r="D23" s="6"/>
      <c r="E23" s="6"/>
      <c r="F23" s="6"/>
      <c r="G23" s="6"/>
      <c r="H23" s="6"/>
      <c r="I23" s="6"/>
      <c r="J23" s="6"/>
      <c r="K23" s="6">
        <v>37</v>
      </c>
      <c r="L23" s="6" t="s">
        <v>857</v>
      </c>
      <c r="M23" s="6">
        <v>393</v>
      </c>
      <c r="N23" s="6">
        <v>24000</v>
      </c>
      <c r="O23" s="6"/>
      <c r="P23" s="6"/>
      <c r="Q23" s="6"/>
      <c r="R23" s="6"/>
    </row>
    <row r="24" spans="1:18" x14ac:dyDescent="0.45">
      <c r="A24" s="6" t="s">
        <v>6</v>
      </c>
      <c r="B24" s="6">
        <v>23</v>
      </c>
      <c r="C24" s="6"/>
      <c r="D24" s="6"/>
      <c r="E24" s="6"/>
      <c r="F24" s="6"/>
      <c r="G24" s="6"/>
      <c r="H24" s="6"/>
      <c r="I24" s="6"/>
      <c r="J24" s="6"/>
      <c r="K24" s="6">
        <v>36</v>
      </c>
      <c r="L24" s="6" t="s">
        <v>858</v>
      </c>
      <c r="M24" s="6">
        <v>472</v>
      </c>
      <c r="N24" s="6">
        <v>24000</v>
      </c>
      <c r="O24" s="6"/>
      <c r="P24" s="6"/>
      <c r="Q24" s="6"/>
      <c r="R24" s="6"/>
    </row>
    <row r="25" spans="1:18" x14ac:dyDescent="0.45">
      <c r="A25" s="6" t="s">
        <v>6</v>
      </c>
      <c r="B25" s="6">
        <v>24</v>
      </c>
      <c r="C25" s="6"/>
      <c r="D25" s="6"/>
      <c r="E25" s="6"/>
      <c r="F25" s="6"/>
      <c r="G25" s="6"/>
      <c r="H25" s="6"/>
      <c r="I25" s="6"/>
      <c r="J25" s="6"/>
      <c r="K25" s="6">
        <v>38</v>
      </c>
      <c r="L25" s="6" t="s">
        <v>859</v>
      </c>
      <c r="M25" s="6">
        <v>301</v>
      </c>
      <c r="N25" s="6">
        <v>24000</v>
      </c>
      <c r="O25" s="6"/>
      <c r="P25" s="6"/>
      <c r="Q25" s="6"/>
      <c r="R25" s="6"/>
    </row>
    <row r="26" spans="1:18" x14ac:dyDescent="0.45">
      <c r="A26" s="6" t="s">
        <v>6</v>
      </c>
      <c r="B26" s="6">
        <v>25</v>
      </c>
      <c r="C26" s="6"/>
      <c r="D26" s="6"/>
      <c r="E26" s="6"/>
      <c r="F26" s="6"/>
      <c r="G26" s="6"/>
      <c r="H26" s="6"/>
      <c r="I26" s="6"/>
      <c r="J26" s="6"/>
      <c r="K26" s="6">
        <v>71</v>
      </c>
      <c r="L26" s="6" t="s">
        <v>860</v>
      </c>
      <c r="M26" s="6">
        <v>491</v>
      </c>
      <c r="N26" s="6">
        <v>24000</v>
      </c>
      <c r="O26" s="6"/>
      <c r="P26" s="6"/>
      <c r="Q26" s="6"/>
      <c r="R26" s="6"/>
    </row>
    <row r="27" spans="1:18" x14ac:dyDescent="0.45">
      <c r="A27" s="6" t="s">
        <v>6</v>
      </c>
      <c r="B27" s="6">
        <v>26</v>
      </c>
      <c r="C27" s="6"/>
      <c r="D27" s="6"/>
      <c r="E27" s="6"/>
      <c r="F27" s="6"/>
      <c r="G27" s="6"/>
      <c r="H27" s="6"/>
      <c r="I27" s="6"/>
      <c r="J27" s="6"/>
      <c r="K27" s="6">
        <v>70</v>
      </c>
      <c r="L27" s="6" t="s">
        <v>861</v>
      </c>
      <c r="M27" s="6">
        <v>429</v>
      </c>
      <c r="N27" s="6">
        <v>24000</v>
      </c>
      <c r="O27" s="6"/>
      <c r="P27" s="6"/>
      <c r="Q27" s="6"/>
      <c r="R27" s="6"/>
    </row>
    <row r="28" spans="1:18" x14ac:dyDescent="0.45">
      <c r="A28" s="6" t="s">
        <v>6</v>
      </c>
      <c r="B28" s="6">
        <v>27</v>
      </c>
      <c r="C28" s="6"/>
      <c r="D28" s="6"/>
      <c r="E28" s="6"/>
      <c r="F28" s="6"/>
      <c r="G28" s="6"/>
      <c r="H28" s="6"/>
      <c r="I28" s="6"/>
      <c r="J28" s="6"/>
      <c r="K28" s="6">
        <v>73</v>
      </c>
      <c r="L28" s="6" t="s">
        <v>862</v>
      </c>
      <c r="M28" s="6">
        <v>1885</v>
      </c>
      <c r="N28" s="6">
        <v>24000</v>
      </c>
      <c r="O28" s="6"/>
      <c r="P28" s="6"/>
      <c r="Q28" s="6"/>
      <c r="R28" s="6"/>
    </row>
    <row r="29" spans="1:18" x14ac:dyDescent="0.45">
      <c r="A29" s="6" t="s">
        <v>6</v>
      </c>
      <c r="B29" s="6">
        <v>28</v>
      </c>
      <c r="C29" s="6"/>
      <c r="D29" s="6"/>
      <c r="E29" s="6"/>
      <c r="F29" s="6"/>
      <c r="G29" s="6"/>
      <c r="H29" s="6"/>
      <c r="I29" s="6"/>
      <c r="J29" s="6"/>
      <c r="K29" s="6">
        <v>72</v>
      </c>
      <c r="L29" s="6" t="s">
        <v>863</v>
      </c>
      <c r="M29" s="6">
        <v>1446</v>
      </c>
      <c r="N29" s="6">
        <v>24000</v>
      </c>
      <c r="O29" s="6"/>
      <c r="P29" s="6"/>
      <c r="Q29" s="6"/>
      <c r="R29" s="6"/>
    </row>
    <row r="30" spans="1:18" x14ac:dyDescent="0.45">
      <c r="A30" s="6" t="s">
        <v>6</v>
      </c>
      <c r="B30" s="6">
        <v>29</v>
      </c>
      <c r="C30" s="6"/>
      <c r="D30" s="6"/>
      <c r="E30" s="6"/>
      <c r="F30" s="6"/>
      <c r="G30" s="6"/>
      <c r="H30" s="6"/>
      <c r="I30" s="6"/>
      <c r="J30" s="6"/>
      <c r="K30" s="6">
        <v>74</v>
      </c>
      <c r="L30" s="6" t="s">
        <v>864</v>
      </c>
      <c r="M30" s="6">
        <v>0</v>
      </c>
      <c r="N30" s="6">
        <v>0</v>
      </c>
      <c r="O30" s="6"/>
      <c r="P30" s="6"/>
      <c r="Q30" s="6"/>
      <c r="R30" s="6"/>
    </row>
    <row r="31" spans="1:18" x14ac:dyDescent="0.45">
      <c r="A31" s="6" t="s">
        <v>6</v>
      </c>
      <c r="B31" s="6">
        <v>30</v>
      </c>
      <c r="C31" s="6"/>
      <c r="D31" s="6"/>
      <c r="E31" s="6"/>
      <c r="F31" s="6"/>
      <c r="G31" s="6"/>
      <c r="H31" s="6"/>
      <c r="I31" s="6"/>
      <c r="J31" s="6"/>
      <c r="K31" s="6">
        <v>75</v>
      </c>
      <c r="L31" s="6" t="s">
        <v>865</v>
      </c>
      <c r="M31" s="6">
        <v>0</v>
      </c>
      <c r="N31" s="6">
        <v>0</v>
      </c>
      <c r="O31" s="6"/>
      <c r="P31" s="6"/>
      <c r="Q31" s="6"/>
      <c r="R31" s="6"/>
    </row>
    <row r="32" spans="1:18" x14ac:dyDescent="0.45">
      <c r="A32" s="6" t="s">
        <v>6</v>
      </c>
      <c r="B32" s="6">
        <v>31</v>
      </c>
      <c r="C32" s="6"/>
      <c r="D32" s="6"/>
      <c r="E32" s="6"/>
      <c r="F32" s="6"/>
      <c r="G32" s="6"/>
      <c r="H32" s="6"/>
      <c r="I32" s="6"/>
      <c r="J32" s="6"/>
      <c r="K32" s="6">
        <v>50</v>
      </c>
      <c r="L32" s="6" t="s">
        <v>866</v>
      </c>
      <c r="M32" s="6">
        <v>0</v>
      </c>
      <c r="N32" s="6">
        <v>0</v>
      </c>
      <c r="O32" s="6"/>
      <c r="P32" s="6"/>
      <c r="Q32" s="6"/>
      <c r="R32" s="6"/>
    </row>
    <row r="33" spans="1:18" x14ac:dyDescent="0.45">
      <c r="A33" s="6" t="s">
        <v>6</v>
      </c>
      <c r="B33" s="6">
        <v>32</v>
      </c>
      <c r="C33" s="6"/>
      <c r="D33" s="6"/>
      <c r="E33" s="6"/>
      <c r="F33" s="6"/>
      <c r="G33" s="6"/>
      <c r="H33" s="6"/>
      <c r="I33" s="6"/>
      <c r="J33" s="6"/>
      <c r="K33" s="6">
        <v>51</v>
      </c>
      <c r="L33" s="6" t="s">
        <v>867</v>
      </c>
      <c r="M33" s="6">
        <v>0</v>
      </c>
      <c r="N33" s="6">
        <v>0</v>
      </c>
      <c r="O33" s="6"/>
      <c r="P33" s="6"/>
      <c r="Q33" s="6"/>
      <c r="R33" s="6"/>
    </row>
    <row r="34" spans="1:18" x14ac:dyDescent="0.45">
      <c r="A34" s="6" t="s">
        <v>6</v>
      </c>
      <c r="B34" s="6">
        <v>33</v>
      </c>
      <c r="C34" s="6"/>
      <c r="D34" s="6"/>
      <c r="E34" s="6"/>
      <c r="F34" s="6"/>
      <c r="G34" s="6"/>
      <c r="H34" s="6"/>
      <c r="I34" s="6"/>
      <c r="J34" s="6"/>
      <c r="K34" s="6">
        <v>52</v>
      </c>
      <c r="L34" s="6" t="s">
        <v>868</v>
      </c>
      <c r="M34" s="6">
        <v>0</v>
      </c>
      <c r="N34" s="6">
        <v>0</v>
      </c>
      <c r="O34" s="6"/>
      <c r="P34" s="6"/>
      <c r="Q34" s="6"/>
      <c r="R34" s="6"/>
    </row>
    <row r="35" spans="1:18" x14ac:dyDescent="0.45">
      <c r="A35" s="6" t="s">
        <v>6</v>
      </c>
      <c r="B35" s="6">
        <v>34</v>
      </c>
      <c r="C35" s="6"/>
      <c r="D35" s="6"/>
      <c r="E35" s="6"/>
      <c r="F35" s="6"/>
      <c r="G35" s="6"/>
      <c r="H35" s="6"/>
      <c r="I35" s="6"/>
      <c r="J35" s="6"/>
      <c r="K35" s="6">
        <v>53</v>
      </c>
      <c r="L35" s="6" t="s">
        <v>869</v>
      </c>
      <c r="M35" s="6">
        <v>0</v>
      </c>
      <c r="N35" s="6">
        <v>0</v>
      </c>
      <c r="O35" s="6"/>
      <c r="P35" s="6"/>
      <c r="Q35" s="6"/>
      <c r="R35" s="6"/>
    </row>
    <row r="36" spans="1:18" x14ac:dyDescent="0.45">
      <c r="A36" s="6" t="s">
        <v>6</v>
      </c>
      <c r="B36" s="6">
        <v>35</v>
      </c>
      <c r="C36" s="6"/>
      <c r="D36" s="6"/>
      <c r="E36" s="6"/>
      <c r="F36" s="6"/>
      <c r="G36" s="6"/>
      <c r="H36" s="6"/>
      <c r="I36" s="6"/>
      <c r="J36" s="6"/>
      <c r="K36" s="6">
        <v>54</v>
      </c>
      <c r="L36" s="6" t="s">
        <v>870</v>
      </c>
      <c r="M36" s="6">
        <v>0</v>
      </c>
      <c r="N36" s="6">
        <v>0</v>
      </c>
      <c r="O36" s="6"/>
      <c r="P36" s="6"/>
      <c r="Q36" s="6"/>
      <c r="R36" s="6"/>
    </row>
    <row r="37" spans="1:18" x14ac:dyDescent="0.45">
      <c r="A37" s="6" t="s">
        <v>6</v>
      </c>
      <c r="B37" s="6">
        <v>36</v>
      </c>
      <c r="C37" s="6"/>
      <c r="D37" s="6"/>
      <c r="E37" s="6"/>
      <c r="F37" s="6"/>
      <c r="G37" s="6"/>
      <c r="H37" s="6"/>
      <c r="I37" s="6"/>
      <c r="J37" s="6"/>
      <c r="K37" s="6">
        <v>55</v>
      </c>
      <c r="L37" s="6" t="s">
        <v>871</v>
      </c>
      <c r="M37" s="6">
        <v>0</v>
      </c>
      <c r="N37" s="6">
        <v>0</v>
      </c>
      <c r="O37" s="6"/>
      <c r="P37" s="6"/>
      <c r="Q37" s="6"/>
      <c r="R37" s="6"/>
    </row>
    <row r="38" spans="1:18" x14ac:dyDescent="0.45">
      <c r="A38" s="6" t="s">
        <v>6</v>
      </c>
      <c r="B38" s="6">
        <v>37</v>
      </c>
      <c r="C38" s="6"/>
      <c r="D38" s="6"/>
      <c r="E38" s="6"/>
      <c r="F38" s="6"/>
      <c r="G38" s="6"/>
      <c r="H38" s="6"/>
      <c r="I38" s="6"/>
      <c r="J38" s="6"/>
      <c r="K38" s="6">
        <v>56</v>
      </c>
      <c r="L38" s="6" t="s">
        <v>872</v>
      </c>
      <c r="M38" s="6">
        <v>1295</v>
      </c>
      <c r="N38" s="6">
        <v>24000</v>
      </c>
      <c r="O38" s="6"/>
      <c r="P38" s="6"/>
      <c r="Q38" s="6"/>
      <c r="R38" s="6"/>
    </row>
    <row r="39" spans="1:18" x14ac:dyDescent="0.45">
      <c r="A39" s="6" t="s">
        <v>6</v>
      </c>
      <c r="B39" s="6">
        <v>38</v>
      </c>
      <c r="C39" s="6"/>
      <c r="D39" s="6"/>
      <c r="E39" s="6"/>
      <c r="F39" s="6"/>
      <c r="G39" s="6"/>
      <c r="H39" s="6"/>
      <c r="I39" s="6"/>
      <c r="J39" s="6"/>
      <c r="K39" s="6">
        <v>62</v>
      </c>
      <c r="L39" s="6" t="s">
        <v>873</v>
      </c>
      <c r="M39" s="6">
        <v>736</v>
      </c>
      <c r="N39" s="6">
        <v>36000</v>
      </c>
      <c r="O39" s="6"/>
      <c r="P39" s="6"/>
      <c r="Q39" s="6"/>
      <c r="R39" s="6"/>
    </row>
    <row r="40" spans="1:18" x14ac:dyDescent="0.45">
      <c r="A40" s="6" t="s">
        <v>6</v>
      </c>
      <c r="B40" s="6">
        <v>39</v>
      </c>
      <c r="C40" s="6"/>
      <c r="D40" s="6"/>
      <c r="E40" s="6"/>
      <c r="F40" s="6"/>
      <c r="G40" s="6"/>
      <c r="H40" s="6"/>
      <c r="I40" s="6"/>
      <c r="J40" s="6"/>
      <c r="K40" s="6">
        <v>61</v>
      </c>
      <c r="L40" s="6" t="s">
        <v>874</v>
      </c>
      <c r="M40" s="6">
        <v>1159</v>
      </c>
      <c r="N40" s="6">
        <v>24000</v>
      </c>
      <c r="O40" s="6"/>
      <c r="P40" s="6"/>
      <c r="Q40" s="6"/>
      <c r="R40" s="6"/>
    </row>
    <row r="41" spans="1:18" x14ac:dyDescent="0.45">
      <c r="A41" s="6" t="s">
        <v>6</v>
      </c>
      <c r="B41" s="6">
        <v>40</v>
      </c>
      <c r="C41" s="6"/>
      <c r="D41" s="6"/>
      <c r="E41" s="6"/>
      <c r="F41" s="6"/>
      <c r="G41" s="6"/>
      <c r="H41" s="6"/>
      <c r="I41" s="6"/>
      <c r="J41" s="6"/>
      <c r="K41" s="6">
        <v>60</v>
      </c>
      <c r="L41" s="6" t="s">
        <v>875</v>
      </c>
      <c r="M41" s="6">
        <v>772</v>
      </c>
      <c r="N41" s="6">
        <v>24000</v>
      </c>
      <c r="O41" s="6"/>
      <c r="P41" s="6"/>
      <c r="Q41" s="6"/>
      <c r="R41" s="6"/>
    </row>
    <row r="42" spans="1:18" x14ac:dyDescent="0.45">
      <c r="A42" s="6" t="s">
        <v>6</v>
      </c>
      <c r="B42" s="6">
        <v>41</v>
      </c>
      <c r="C42" s="6"/>
      <c r="D42" s="6"/>
      <c r="E42" s="6"/>
      <c r="F42" s="6"/>
      <c r="G42" s="6"/>
      <c r="H42" s="6"/>
      <c r="I42" s="6"/>
      <c r="J42" s="6"/>
      <c r="K42" s="6">
        <v>63</v>
      </c>
      <c r="L42" s="6" t="s">
        <v>876</v>
      </c>
      <c r="M42" s="6">
        <v>564</v>
      </c>
      <c r="N42" s="6">
        <v>36000</v>
      </c>
      <c r="O42" s="6"/>
      <c r="P42" s="6"/>
      <c r="Q42" s="6"/>
      <c r="R42" s="6"/>
    </row>
    <row r="43" spans="1:18" x14ac:dyDescent="0.45">
      <c r="A43" s="6" t="s">
        <v>6</v>
      </c>
      <c r="B43" s="6">
        <v>42</v>
      </c>
      <c r="C43" s="6"/>
      <c r="D43" s="6"/>
      <c r="E43" s="6"/>
      <c r="F43" s="6"/>
      <c r="G43" s="6"/>
      <c r="H43" s="6"/>
      <c r="I43" s="6"/>
      <c r="J43" s="6"/>
      <c r="K43" s="6">
        <v>64</v>
      </c>
      <c r="L43" s="6" t="s">
        <v>877</v>
      </c>
      <c r="M43" s="6">
        <v>565</v>
      </c>
      <c r="N43" s="6">
        <v>36000</v>
      </c>
      <c r="O43" s="6"/>
      <c r="P43" s="6"/>
      <c r="Q43" s="6"/>
      <c r="R43" s="6"/>
    </row>
    <row r="44" spans="1:18" x14ac:dyDescent="0.45">
      <c r="A44" s="6" t="s">
        <v>6</v>
      </c>
      <c r="B44" s="6">
        <v>43</v>
      </c>
      <c r="C44" s="6"/>
      <c r="D44" s="6"/>
      <c r="E44" s="6"/>
      <c r="F44" s="6"/>
      <c r="G44" s="6"/>
      <c r="H44" s="6"/>
      <c r="I44" s="6"/>
      <c r="J44" s="6"/>
      <c r="K44" s="6">
        <v>40</v>
      </c>
      <c r="L44" s="6" t="s">
        <v>878</v>
      </c>
      <c r="M44" s="6">
        <v>699</v>
      </c>
      <c r="N44" s="6">
        <v>24000</v>
      </c>
      <c r="O44" s="6"/>
      <c r="P44" s="6"/>
      <c r="Q44" s="6"/>
      <c r="R44" s="6"/>
    </row>
    <row r="45" spans="1:18" x14ac:dyDescent="0.45">
      <c r="A45" s="6" t="s">
        <v>6</v>
      </c>
      <c r="B45" s="6">
        <v>44</v>
      </c>
      <c r="C45" s="6"/>
      <c r="D45" s="6"/>
      <c r="E45" s="6"/>
      <c r="F45" s="6"/>
      <c r="G45" s="6"/>
      <c r="H45" s="6"/>
      <c r="I45" s="6"/>
      <c r="J45" s="6"/>
      <c r="K45" s="6">
        <v>41</v>
      </c>
      <c r="L45" s="6" t="s">
        <v>879</v>
      </c>
      <c r="M45" s="6">
        <v>364</v>
      </c>
      <c r="N45" s="6">
        <v>24000</v>
      </c>
      <c r="O45" s="6"/>
      <c r="P45" s="6"/>
      <c r="Q45" s="6"/>
      <c r="R45" s="6"/>
    </row>
    <row r="46" spans="1:18" x14ac:dyDescent="0.45">
      <c r="A46" s="6" t="s">
        <v>6</v>
      </c>
      <c r="B46" s="6">
        <v>45</v>
      </c>
      <c r="C46" s="6"/>
      <c r="D46" s="6"/>
      <c r="E46" s="6"/>
      <c r="F46" s="6"/>
      <c r="G46" s="6"/>
      <c r="H46" s="6"/>
      <c r="I46" s="6"/>
      <c r="J46" s="6"/>
      <c r="K46" s="6">
        <v>42</v>
      </c>
      <c r="L46" s="6" t="s">
        <v>880</v>
      </c>
      <c r="M46" s="6">
        <v>340</v>
      </c>
      <c r="N46" s="6">
        <v>24000</v>
      </c>
      <c r="O46" s="6"/>
      <c r="P46" s="6"/>
      <c r="Q46" s="6"/>
      <c r="R46" s="6"/>
    </row>
    <row r="47" spans="1:18" x14ac:dyDescent="0.45">
      <c r="A47" s="6" t="s">
        <v>6</v>
      </c>
      <c r="B47" s="6">
        <v>46</v>
      </c>
      <c r="C47" s="6"/>
      <c r="D47" s="6"/>
      <c r="E47" s="6"/>
      <c r="F47" s="6"/>
      <c r="G47" s="6"/>
      <c r="H47" s="6"/>
      <c r="I47" s="6"/>
      <c r="J47" s="6"/>
      <c r="K47" s="6">
        <v>43</v>
      </c>
      <c r="L47" s="6" t="s">
        <v>881</v>
      </c>
      <c r="M47" s="6">
        <v>0</v>
      </c>
      <c r="N47" s="6">
        <v>0</v>
      </c>
      <c r="O47" s="6"/>
      <c r="P47" s="6"/>
      <c r="Q47" s="6"/>
      <c r="R47" s="6"/>
    </row>
    <row r="48" spans="1:18" x14ac:dyDescent="0.45">
      <c r="A48" s="6" t="s">
        <v>6</v>
      </c>
      <c r="B48" s="6">
        <v>47</v>
      </c>
      <c r="C48" s="6"/>
      <c r="D48" s="6"/>
      <c r="E48" s="6"/>
      <c r="F48" s="6"/>
      <c r="G48" s="6"/>
      <c r="H48" s="6"/>
      <c r="I48" s="6"/>
      <c r="J48" s="6"/>
      <c r="K48" s="6">
        <v>44</v>
      </c>
      <c r="L48" s="6" t="s">
        <v>882</v>
      </c>
      <c r="M48" s="6">
        <v>0</v>
      </c>
      <c r="N48" s="6">
        <v>0</v>
      </c>
      <c r="O48" s="6"/>
      <c r="P48" s="6"/>
      <c r="Q48" s="6"/>
      <c r="R48" s="6"/>
    </row>
    <row r="49" spans="1:18" x14ac:dyDescent="0.45">
      <c r="A49" s="6" t="s">
        <v>6</v>
      </c>
      <c r="B49" s="6">
        <v>48</v>
      </c>
      <c r="C49" s="6"/>
      <c r="D49" s="6"/>
      <c r="E49" s="6"/>
      <c r="F49" s="6"/>
      <c r="G49" s="6"/>
      <c r="H49" s="6"/>
      <c r="I49" s="6"/>
      <c r="J49" s="6"/>
      <c r="K49" s="6">
        <v>45</v>
      </c>
      <c r="L49" s="6" t="s">
        <v>883</v>
      </c>
      <c r="M49" s="6">
        <v>0</v>
      </c>
      <c r="N49" s="6">
        <v>0</v>
      </c>
      <c r="O49" s="6"/>
      <c r="P49" s="6"/>
      <c r="Q49" s="6"/>
      <c r="R49" s="6"/>
    </row>
    <row r="50" spans="1:18" x14ac:dyDescent="0.45">
      <c r="A50" s="6" t="s">
        <v>6</v>
      </c>
      <c r="B50" s="6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45">
      <c r="A51" s="6" t="s">
        <v>6</v>
      </c>
      <c r="B51" s="6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45">
      <c r="A52" s="6" t="s">
        <v>8</v>
      </c>
      <c r="B52" s="6">
        <v>1</v>
      </c>
      <c r="C52" s="6">
        <v>1</v>
      </c>
      <c r="D52" s="6" t="s">
        <v>809</v>
      </c>
      <c r="E52" s="6">
        <v>43660</v>
      </c>
      <c r="F52" s="6">
        <v>14000</v>
      </c>
      <c r="G52" s="6">
        <v>1</v>
      </c>
      <c r="H52" s="6" t="s">
        <v>810</v>
      </c>
      <c r="I52" s="6">
        <v>33162.800000000003</v>
      </c>
      <c r="J52" s="6">
        <v>601.66</v>
      </c>
      <c r="K52" s="6">
        <v>1</v>
      </c>
      <c r="L52" s="6" t="s">
        <v>884</v>
      </c>
      <c r="M52" s="6">
        <v>1</v>
      </c>
      <c r="N52" s="71">
        <v>2573</v>
      </c>
      <c r="O52" s="6"/>
      <c r="P52" s="6"/>
      <c r="Q52" s="6"/>
      <c r="R52" s="6"/>
    </row>
    <row r="53" spans="1:18" x14ac:dyDescent="0.45">
      <c r="A53" s="6" t="s">
        <v>8</v>
      </c>
      <c r="B53" s="6">
        <v>2</v>
      </c>
      <c r="C53" s="6">
        <v>2</v>
      </c>
      <c r="D53" s="6" t="s">
        <v>812</v>
      </c>
      <c r="E53" s="6">
        <v>0</v>
      </c>
      <c r="F53" s="6">
        <v>14000</v>
      </c>
      <c r="G53" s="6">
        <v>2</v>
      </c>
      <c r="H53" s="6" t="s">
        <v>813</v>
      </c>
      <c r="I53" s="6">
        <v>32856.400000000001</v>
      </c>
      <c r="J53" s="6">
        <v>601.66</v>
      </c>
      <c r="K53" s="6">
        <v>2</v>
      </c>
      <c r="L53" s="6" t="s">
        <v>885</v>
      </c>
      <c r="M53" s="6">
        <v>1</v>
      </c>
      <c r="N53" s="71">
        <v>2573</v>
      </c>
      <c r="O53" s="6"/>
      <c r="P53" s="6"/>
      <c r="Q53" s="6"/>
      <c r="R53" s="6"/>
    </row>
    <row r="54" spans="1:18" x14ac:dyDescent="0.45">
      <c r="A54" s="6" t="s">
        <v>8</v>
      </c>
      <c r="B54" s="6">
        <v>3</v>
      </c>
      <c r="C54" s="6">
        <v>3</v>
      </c>
      <c r="D54" s="6" t="s">
        <v>815</v>
      </c>
      <c r="E54" s="6">
        <v>34220</v>
      </c>
      <c r="F54" s="6">
        <v>14000</v>
      </c>
      <c r="G54" s="6">
        <v>3</v>
      </c>
      <c r="H54" s="6" t="s">
        <v>816</v>
      </c>
      <c r="I54" s="6">
        <v>40285.5</v>
      </c>
      <c r="J54" s="6">
        <v>601.66</v>
      </c>
      <c r="K54" s="6">
        <v>3</v>
      </c>
      <c r="L54" s="6" t="s">
        <v>886</v>
      </c>
      <c r="M54" s="6">
        <v>1</v>
      </c>
      <c r="N54" s="71">
        <v>2573</v>
      </c>
      <c r="O54" s="6"/>
      <c r="P54" s="6"/>
      <c r="Q54" s="6"/>
      <c r="R54" s="6"/>
    </row>
    <row r="55" spans="1:18" x14ac:dyDescent="0.45">
      <c r="A55" s="6" t="s">
        <v>8</v>
      </c>
      <c r="B55" s="6">
        <v>4</v>
      </c>
      <c r="C55" s="6">
        <v>4</v>
      </c>
      <c r="D55" s="6" t="s">
        <v>818</v>
      </c>
      <c r="E55" s="6">
        <v>0</v>
      </c>
      <c r="F55" s="6">
        <v>14000</v>
      </c>
      <c r="G55" s="6">
        <v>4</v>
      </c>
      <c r="H55" s="6" t="s">
        <v>819</v>
      </c>
      <c r="I55" s="6">
        <v>59892.1</v>
      </c>
      <c r="J55" s="6">
        <v>601.66</v>
      </c>
      <c r="K55" s="6">
        <v>4</v>
      </c>
      <c r="L55" s="6" t="s">
        <v>887</v>
      </c>
      <c r="M55" s="6">
        <v>1</v>
      </c>
      <c r="N55" s="71">
        <v>2573</v>
      </c>
      <c r="O55" s="6"/>
      <c r="P55" s="6"/>
      <c r="Q55" s="6"/>
      <c r="R55" s="6"/>
    </row>
    <row r="56" spans="1:18" x14ac:dyDescent="0.45">
      <c r="A56" s="6" t="s">
        <v>8</v>
      </c>
      <c r="B56" s="6">
        <v>5</v>
      </c>
      <c r="C56" s="6">
        <v>5</v>
      </c>
      <c r="D56" s="6" t="s">
        <v>821</v>
      </c>
      <c r="E56" s="6">
        <v>0</v>
      </c>
      <c r="F56" s="6">
        <v>14000</v>
      </c>
      <c r="G56" s="6">
        <v>5</v>
      </c>
      <c r="H56" s="6" t="s">
        <v>822</v>
      </c>
      <c r="I56" s="6">
        <v>54684.1</v>
      </c>
      <c r="J56" s="6">
        <v>601.66</v>
      </c>
      <c r="K56" s="6">
        <v>5</v>
      </c>
      <c r="L56" s="6" t="s">
        <v>888</v>
      </c>
      <c r="M56" s="71">
        <v>37800</v>
      </c>
      <c r="N56" s="71">
        <v>2573</v>
      </c>
      <c r="O56" s="6"/>
      <c r="P56" s="6"/>
      <c r="Q56" s="6"/>
      <c r="R56" s="6"/>
    </row>
    <row r="57" spans="1:18" x14ac:dyDescent="0.45">
      <c r="A57" s="6" t="s">
        <v>8</v>
      </c>
      <c r="B57" s="6">
        <v>6</v>
      </c>
      <c r="C57" s="6">
        <v>6</v>
      </c>
      <c r="D57" s="6" t="s">
        <v>824</v>
      </c>
      <c r="E57" s="6">
        <v>0</v>
      </c>
      <c r="F57" s="6">
        <v>14000</v>
      </c>
      <c r="G57" s="6">
        <v>6</v>
      </c>
      <c r="H57" s="6" t="s">
        <v>825</v>
      </c>
      <c r="I57" s="6">
        <v>52463</v>
      </c>
      <c r="J57" s="6">
        <v>601.66</v>
      </c>
      <c r="K57" s="6">
        <v>6</v>
      </c>
      <c r="L57" s="6" t="s">
        <v>889</v>
      </c>
      <c r="M57" s="71">
        <v>20963</v>
      </c>
      <c r="N57" s="71">
        <v>2573</v>
      </c>
      <c r="O57" s="6"/>
      <c r="P57" s="6"/>
      <c r="Q57" s="6"/>
      <c r="R57" s="6"/>
    </row>
    <row r="58" spans="1:18" x14ac:dyDescent="0.45">
      <c r="A58" s="6" t="s">
        <v>8</v>
      </c>
      <c r="B58" s="6">
        <v>7</v>
      </c>
      <c r="C58" s="6">
        <v>7</v>
      </c>
      <c r="D58" s="6" t="s">
        <v>827</v>
      </c>
      <c r="E58" s="6">
        <v>0</v>
      </c>
      <c r="F58" s="6">
        <v>14000</v>
      </c>
      <c r="G58" s="6">
        <v>7</v>
      </c>
      <c r="H58" s="6" t="s">
        <v>828</v>
      </c>
      <c r="I58" s="6">
        <v>71150.600000000006</v>
      </c>
      <c r="J58" s="6">
        <v>601.66</v>
      </c>
      <c r="K58" s="6">
        <v>7</v>
      </c>
      <c r="L58" s="6" t="s">
        <v>890</v>
      </c>
      <c r="M58" s="71">
        <v>17773</v>
      </c>
      <c r="N58" s="71">
        <v>2573</v>
      </c>
      <c r="O58" s="6"/>
      <c r="P58" s="6"/>
      <c r="Q58" s="6"/>
      <c r="R58" s="6"/>
    </row>
    <row r="59" spans="1:18" x14ac:dyDescent="0.45">
      <c r="A59" s="6" t="s">
        <v>8</v>
      </c>
      <c r="B59" s="6">
        <v>8</v>
      </c>
      <c r="C59" s="6">
        <v>8</v>
      </c>
      <c r="D59" s="6" t="s">
        <v>830</v>
      </c>
      <c r="E59" s="6">
        <v>0</v>
      </c>
      <c r="F59" s="6">
        <v>14000</v>
      </c>
      <c r="G59" s="6">
        <v>8</v>
      </c>
      <c r="H59" s="6" t="s">
        <v>831</v>
      </c>
      <c r="I59" s="6">
        <v>68546.600000000006</v>
      </c>
      <c r="J59" s="6">
        <v>601.66</v>
      </c>
      <c r="K59" s="6">
        <v>8</v>
      </c>
      <c r="L59" s="6" t="s">
        <v>838</v>
      </c>
      <c r="M59" s="71">
        <v>42097</v>
      </c>
      <c r="N59" s="71">
        <v>2573</v>
      </c>
      <c r="O59" s="6"/>
      <c r="P59" s="6"/>
      <c r="Q59" s="6"/>
      <c r="R59" s="6"/>
    </row>
    <row r="60" spans="1:18" x14ac:dyDescent="0.45">
      <c r="A60" s="6" t="s">
        <v>8</v>
      </c>
      <c r="B60" s="6">
        <v>9</v>
      </c>
      <c r="C60" s="6">
        <v>9</v>
      </c>
      <c r="D60" s="6" t="s">
        <v>833</v>
      </c>
      <c r="E60" s="6">
        <v>0</v>
      </c>
      <c r="F60" s="6">
        <v>14000</v>
      </c>
      <c r="G60" s="6">
        <v>9</v>
      </c>
      <c r="H60" s="6" t="s">
        <v>834</v>
      </c>
      <c r="I60" s="6">
        <v>50395.199999999997</v>
      </c>
      <c r="J60" s="6">
        <v>601.66</v>
      </c>
      <c r="K60" s="6"/>
      <c r="L60" s="6"/>
      <c r="M60" s="6"/>
      <c r="N60" s="6"/>
      <c r="O60" s="6"/>
      <c r="P60" s="6"/>
      <c r="Q60" s="6"/>
      <c r="R60" s="6"/>
    </row>
    <row r="61" spans="1:18" x14ac:dyDescent="0.45">
      <c r="A61" s="6" t="s">
        <v>8</v>
      </c>
      <c r="B61" s="6">
        <v>10</v>
      </c>
      <c r="C61" s="6">
        <v>10</v>
      </c>
      <c r="D61" s="6" t="s">
        <v>836</v>
      </c>
      <c r="E61" s="6">
        <v>40120</v>
      </c>
      <c r="F61" s="6">
        <v>14000</v>
      </c>
      <c r="G61" s="6">
        <v>10</v>
      </c>
      <c r="H61" s="6" t="s">
        <v>837</v>
      </c>
      <c r="I61" s="6">
        <v>58666.7</v>
      </c>
      <c r="J61" s="6">
        <v>601.66</v>
      </c>
      <c r="K61" s="6"/>
      <c r="L61" s="6"/>
      <c r="M61" s="6"/>
      <c r="N61" s="6"/>
      <c r="O61" s="6"/>
      <c r="P61" s="6"/>
      <c r="Q61" s="6"/>
      <c r="R61" s="6"/>
    </row>
    <row r="62" spans="1:18" x14ac:dyDescent="0.45">
      <c r="A62" s="6" t="s">
        <v>8</v>
      </c>
      <c r="B62" s="6">
        <v>11</v>
      </c>
      <c r="C62" s="6">
        <v>11</v>
      </c>
      <c r="D62" s="6" t="s">
        <v>839</v>
      </c>
      <c r="E62" s="6">
        <v>0</v>
      </c>
      <c r="F62" s="6">
        <v>14000</v>
      </c>
      <c r="G62" s="6">
        <v>11</v>
      </c>
      <c r="H62" s="6" t="s">
        <v>840</v>
      </c>
      <c r="I62" s="6">
        <v>32473.5</v>
      </c>
      <c r="J62" s="6">
        <v>601.66</v>
      </c>
      <c r="K62" s="6"/>
      <c r="L62" s="6"/>
      <c r="M62" s="6"/>
      <c r="N62" s="6"/>
      <c r="O62" s="6"/>
      <c r="P62" s="6"/>
      <c r="Q62" s="6"/>
      <c r="R62" s="6"/>
    </row>
    <row r="63" spans="1:18" x14ac:dyDescent="0.45">
      <c r="A63" s="6" t="s">
        <v>8</v>
      </c>
      <c r="B63" s="6">
        <v>12</v>
      </c>
      <c r="C63" s="6">
        <v>12</v>
      </c>
      <c r="D63" s="6" t="s">
        <v>842</v>
      </c>
      <c r="E63" s="6">
        <v>0</v>
      </c>
      <c r="F63" s="6">
        <v>14000</v>
      </c>
      <c r="G63" s="6">
        <v>12</v>
      </c>
      <c r="H63" s="6" t="s">
        <v>843</v>
      </c>
      <c r="I63" s="6">
        <v>35996.5</v>
      </c>
      <c r="J63" s="6">
        <v>601.66</v>
      </c>
      <c r="K63" s="6"/>
      <c r="L63" s="6"/>
      <c r="M63" s="6"/>
      <c r="N63" s="6"/>
      <c r="O63" s="6"/>
      <c r="P63" s="6"/>
      <c r="Q63" s="6"/>
      <c r="R63" s="6"/>
    </row>
    <row r="64" spans="1:18" x14ac:dyDescent="0.45">
      <c r="A64" s="6" t="s">
        <v>8</v>
      </c>
      <c r="B64" s="6">
        <v>13</v>
      </c>
      <c r="C64" s="6">
        <v>13</v>
      </c>
      <c r="D64" s="6" t="s">
        <v>845</v>
      </c>
      <c r="E64" s="6">
        <v>0</v>
      </c>
      <c r="F64" s="6">
        <v>14000</v>
      </c>
      <c r="G64" s="6">
        <v>13</v>
      </c>
      <c r="H64" s="6" t="s">
        <v>846</v>
      </c>
      <c r="I64" s="6">
        <v>21597.9</v>
      </c>
      <c r="J64" s="6">
        <v>601.66</v>
      </c>
      <c r="K64" s="6"/>
      <c r="L64" s="6"/>
      <c r="M64" s="6"/>
      <c r="N64" s="6"/>
      <c r="O64" s="6"/>
      <c r="P64" s="6"/>
      <c r="Q64" s="6"/>
      <c r="R64" s="6"/>
    </row>
    <row r="65" spans="1:18" x14ac:dyDescent="0.45">
      <c r="A65" s="6" t="s">
        <v>8</v>
      </c>
      <c r="B65" s="6">
        <v>14</v>
      </c>
      <c r="C65" s="6"/>
      <c r="D65" s="6"/>
      <c r="E65" s="6"/>
      <c r="F65" s="6"/>
      <c r="G65" s="6">
        <v>14</v>
      </c>
      <c r="H65" s="6" t="s">
        <v>848</v>
      </c>
      <c r="I65" s="6">
        <v>37375.1</v>
      </c>
      <c r="J65" s="6">
        <v>601.66</v>
      </c>
      <c r="K65" s="6"/>
      <c r="L65" s="6"/>
      <c r="M65" s="6"/>
      <c r="N65" s="6"/>
      <c r="O65" s="6"/>
      <c r="P65" s="6"/>
      <c r="Q65" s="6"/>
      <c r="R65" s="6"/>
    </row>
    <row r="66" spans="1:18" x14ac:dyDescent="0.45">
      <c r="A66" s="6" t="s">
        <v>8</v>
      </c>
      <c r="B66" s="6">
        <v>15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45">
      <c r="A67" s="6" t="s">
        <v>10</v>
      </c>
      <c r="B67" s="6">
        <v>1</v>
      </c>
      <c r="C67" s="6">
        <v>0</v>
      </c>
      <c r="D67" s="6">
        <v>0</v>
      </c>
      <c r="E67" s="6">
        <v>0</v>
      </c>
      <c r="F67" s="6">
        <v>0</v>
      </c>
      <c r="G67" s="6">
        <v>1</v>
      </c>
      <c r="H67" s="6" t="s">
        <v>443</v>
      </c>
      <c r="I67" s="6">
        <v>91668</v>
      </c>
      <c r="J67" s="6">
        <v>459569</v>
      </c>
      <c r="K67" s="6">
        <v>1</v>
      </c>
      <c r="L67" s="6" t="s">
        <v>443</v>
      </c>
      <c r="M67" s="71">
        <v>3497</v>
      </c>
      <c r="N67" s="71">
        <v>18418</v>
      </c>
      <c r="O67" s="6"/>
      <c r="P67" s="6"/>
      <c r="Q67" s="6"/>
      <c r="R67" s="6"/>
    </row>
    <row r="68" spans="1:18" x14ac:dyDescent="0.45">
      <c r="A68" s="6" t="s">
        <v>10</v>
      </c>
      <c r="B68" s="6">
        <v>2</v>
      </c>
      <c r="C68" s="6"/>
      <c r="D68" s="6"/>
      <c r="E68" s="6"/>
      <c r="F68" s="6"/>
      <c r="G68" s="6">
        <v>2</v>
      </c>
      <c r="H68" s="6" t="s">
        <v>447</v>
      </c>
      <c r="I68" s="6">
        <v>5012</v>
      </c>
      <c r="J68" s="6">
        <v>298873</v>
      </c>
      <c r="K68" s="6">
        <v>2</v>
      </c>
      <c r="L68" s="6"/>
      <c r="M68" s="6">
        <v>0</v>
      </c>
      <c r="N68" s="6">
        <v>0</v>
      </c>
      <c r="O68" s="6"/>
      <c r="P68" s="6"/>
      <c r="Q68" s="6"/>
      <c r="R68" s="6"/>
    </row>
    <row r="69" spans="1:18" x14ac:dyDescent="0.45">
      <c r="A69" s="6" t="s">
        <v>10</v>
      </c>
      <c r="B69" s="6">
        <v>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45">
      <c r="A70" s="6" t="s">
        <v>10</v>
      </c>
      <c r="B70" s="6">
        <v>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45">
      <c r="A71" s="6" t="s">
        <v>10</v>
      </c>
      <c r="B71" s="6">
        <v>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45">
      <c r="A72" s="6" t="s">
        <v>10</v>
      </c>
      <c r="B72" s="6">
        <v>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45">
      <c r="A73" s="6" t="s">
        <v>10</v>
      </c>
      <c r="B73" s="6">
        <v>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45">
      <c r="A74" s="6" t="s">
        <v>10</v>
      </c>
      <c r="B74" s="6">
        <v>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45">
      <c r="A75" s="6" t="s">
        <v>10</v>
      </c>
      <c r="B75" s="6">
        <v>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45">
      <c r="A76" s="6" t="s">
        <v>10</v>
      </c>
      <c r="B76" s="6">
        <v>10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45">
      <c r="A77" s="6" t="s">
        <v>10</v>
      </c>
      <c r="B77" s="6">
        <v>11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45">
      <c r="A78" s="6" t="s">
        <v>10</v>
      </c>
      <c r="B78" s="6">
        <v>12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45">
      <c r="A79" s="6" t="s">
        <v>10</v>
      </c>
      <c r="B79" s="6">
        <v>13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45">
      <c r="A80" s="6" t="s">
        <v>10</v>
      </c>
      <c r="B80" s="6">
        <v>14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45">
      <c r="A81" s="6" t="s">
        <v>10</v>
      </c>
      <c r="B81" s="6">
        <v>15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7151-1761-4ABD-A069-7532A8FBD356}">
  <sheetPr>
    <tabColor theme="7" tint="0.59999389629810485"/>
  </sheetPr>
  <dimension ref="A1:L93"/>
  <sheetViews>
    <sheetView workbookViewId="0">
      <pane xSplit="1" ySplit="1" topLeftCell="D59" activePane="bottomRight" state="frozen"/>
      <selection pane="topRight"/>
      <selection pane="bottomLeft"/>
      <selection pane="bottomRight" activeCell="A33" sqref="A33"/>
    </sheetView>
  </sheetViews>
  <sheetFormatPr defaultColWidth="11.3984375" defaultRowHeight="14.25" x14ac:dyDescent="0.45"/>
  <cols>
    <col min="2" max="2" width="16.3984375" customWidth="1"/>
    <col min="3" max="3" width="10.73046875" customWidth="1"/>
    <col min="4" max="4" width="20.73046875" customWidth="1"/>
    <col min="5" max="5" width="13.73046875" style="4" customWidth="1"/>
    <col min="6" max="7" width="14" customWidth="1"/>
    <col min="8" max="8" width="16.265625" customWidth="1"/>
    <col min="9" max="11" width="14" customWidth="1"/>
    <col min="12" max="12" width="12.3984375" style="7" bestFit="1" customWidth="1"/>
  </cols>
  <sheetData>
    <row r="1" spans="1:12" x14ac:dyDescent="0.45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t="s">
        <v>96</v>
      </c>
      <c r="H1" t="s">
        <v>97</v>
      </c>
      <c r="I1" t="s">
        <v>106</v>
      </c>
      <c r="J1" t="s">
        <v>107</v>
      </c>
      <c r="K1" t="s">
        <v>108</v>
      </c>
      <c r="L1" s="7" t="s">
        <v>101</v>
      </c>
    </row>
    <row r="2" spans="1:12" x14ac:dyDescent="0.45">
      <c r="A2" t="s">
        <v>126</v>
      </c>
      <c r="B2" s="6" t="s">
        <v>127</v>
      </c>
      <c r="C2" t="s">
        <v>128</v>
      </c>
      <c r="D2" t="s">
        <v>129</v>
      </c>
      <c r="E2" s="4">
        <v>1</v>
      </c>
      <c r="F2" t="s">
        <v>19</v>
      </c>
      <c r="G2" t="s">
        <v>137</v>
      </c>
      <c r="H2" t="str">
        <f>_xlfn.CONCAT(C2, "_", E2, "_", G2)</f>
        <v>P1_1_rate1</v>
      </c>
    </row>
    <row r="3" spans="1:12" x14ac:dyDescent="0.45">
      <c r="A3" s="6" t="s">
        <v>126</v>
      </c>
      <c r="B3" s="6" t="s">
        <v>127</v>
      </c>
      <c r="C3" s="6" t="s">
        <v>128</v>
      </c>
      <c r="D3" s="6" t="s">
        <v>129</v>
      </c>
      <c r="E3" s="6">
        <v>1</v>
      </c>
      <c r="F3" s="6" t="s">
        <v>19</v>
      </c>
      <c r="G3" s="6" t="s">
        <v>139</v>
      </c>
      <c r="H3" t="str">
        <f t="shared" ref="H3:H21" si="0">_xlfn.CONCAT(C3, "_", E3, "_", G3)</f>
        <v>P1_1_max1</v>
      </c>
    </row>
    <row r="4" spans="1:12" x14ac:dyDescent="0.45">
      <c r="A4" s="6" t="s">
        <v>126</v>
      </c>
      <c r="B4" s="6" t="s">
        <v>127</v>
      </c>
      <c r="C4" s="6" t="s">
        <v>128</v>
      </c>
      <c r="D4" s="6" t="s">
        <v>129</v>
      </c>
      <c r="E4" s="6">
        <v>1</v>
      </c>
      <c r="F4" s="6" t="s">
        <v>19</v>
      </c>
      <c r="G4" s="6" t="s">
        <v>142</v>
      </c>
      <c r="H4" t="str">
        <f t="shared" si="0"/>
        <v>P1_1_rate2</v>
      </c>
    </row>
    <row r="5" spans="1:12" x14ac:dyDescent="0.45">
      <c r="A5" s="6" t="s">
        <v>126</v>
      </c>
      <c r="B5" s="6" t="s">
        <v>127</v>
      </c>
      <c r="C5" s="6" t="s">
        <v>128</v>
      </c>
      <c r="D5" s="6" t="s">
        <v>129</v>
      </c>
      <c r="E5" s="6">
        <v>1</v>
      </c>
      <c r="F5" s="6" t="s">
        <v>19</v>
      </c>
      <c r="G5" s="6" t="s">
        <v>144</v>
      </c>
      <c r="H5" t="str">
        <f t="shared" si="0"/>
        <v>P1_1_max2</v>
      </c>
    </row>
    <row r="6" spans="1:12" x14ac:dyDescent="0.45">
      <c r="A6" s="6" t="s">
        <v>126</v>
      </c>
      <c r="B6" s="6" t="s">
        <v>127</v>
      </c>
      <c r="C6" s="6" t="s">
        <v>128</v>
      </c>
      <c r="D6" s="6" t="s">
        <v>129</v>
      </c>
      <c r="E6" s="6">
        <v>1</v>
      </c>
      <c r="F6" s="6" t="s">
        <v>19</v>
      </c>
      <c r="G6" s="6" t="s">
        <v>146</v>
      </c>
      <c r="H6" t="str">
        <f t="shared" si="0"/>
        <v>P1_1_rate3</v>
      </c>
    </row>
    <row r="7" spans="1:12" x14ac:dyDescent="0.45">
      <c r="A7" s="6" t="s">
        <v>126</v>
      </c>
      <c r="B7" s="6" t="s">
        <v>127</v>
      </c>
      <c r="C7" s="6" t="s">
        <v>128</v>
      </c>
      <c r="D7" s="6" t="s">
        <v>129</v>
      </c>
      <c r="E7" s="6">
        <v>1</v>
      </c>
      <c r="F7" s="6" t="s">
        <v>19</v>
      </c>
      <c r="G7" s="6" t="s">
        <v>148</v>
      </c>
      <c r="H7" t="str">
        <f t="shared" si="0"/>
        <v>P1_1_max3</v>
      </c>
    </row>
    <row r="8" spans="1:12" x14ac:dyDescent="0.45">
      <c r="A8" s="6" t="s">
        <v>126</v>
      </c>
      <c r="B8" s="6" t="s">
        <v>127</v>
      </c>
      <c r="C8" s="6" t="s">
        <v>128</v>
      </c>
      <c r="D8" s="6" t="s">
        <v>129</v>
      </c>
      <c r="E8" s="6">
        <v>1</v>
      </c>
      <c r="F8" s="6" t="s">
        <v>19</v>
      </c>
      <c r="G8" s="6" t="s">
        <v>150</v>
      </c>
      <c r="H8" t="str">
        <f t="shared" si="0"/>
        <v>P1_1_rate4</v>
      </c>
    </row>
    <row r="9" spans="1:12" x14ac:dyDescent="0.45">
      <c r="A9" s="6" t="s">
        <v>126</v>
      </c>
      <c r="B9" s="6" t="s">
        <v>127</v>
      </c>
      <c r="C9" s="6" t="s">
        <v>128</v>
      </c>
      <c r="D9" s="6" t="s">
        <v>129</v>
      </c>
      <c r="E9" s="6">
        <v>1</v>
      </c>
      <c r="F9" s="6" t="s">
        <v>19</v>
      </c>
      <c r="G9" s="6" t="s">
        <v>152</v>
      </c>
      <c r="H9" t="str">
        <f t="shared" si="0"/>
        <v>P1_1_max4</v>
      </c>
    </row>
    <row r="10" spans="1:12" x14ac:dyDescent="0.45">
      <c r="A10" s="6" t="s">
        <v>126</v>
      </c>
      <c r="B10" s="6" t="s">
        <v>127</v>
      </c>
      <c r="C10" s="6" t="s">
        <v>128</v>
      </c>
      <c r="D10" s="6" t="s">
        <v>129</v>
      </c>
      <c r="E10" s="6">
        <v>1</v>
      </c>
      <c r="F10" s="6" t="s">
        <v>19</v>
      </c>
      <c r="G10" s="6" t="s">
        <v>154</v>
      </c>
      <c r="H10" t="str">
        <f t="shared" si="0"/>
        <v>P1_1_rate5</v>
      </c>
    </row>
    <row r="11" spans="1:12" x14ac:dyDescent="0.45">
      <c r="A11" s="6" t="s">
        <v>126</v>
      </c>
      <c r="B11" s="6" t="s">
        <v>127</v>
      </c>
      <c r="C11" s="6" t="s">
        <v>128</v>
      </c>
      <c r="D11" s="6" t="s">
        <v>129</v>
      </c>
      <c r="E11" s="6">
        <v>1</v>
      </c>
      <c r="F11" s="6" t="s">
        <v>19</v>
      </c>
      <c r="G11" s="6" t="s">
        <v>156</v>
      </c>
      <c r="H11" t="str">
        <f t="shared" si="0"/>
        <v>P1_1_max5</v>
      </c>
    </row>
    <row r="12" spans="1:12" x14ac:dyDescent="0.45">
      <c r="A12" s="6" t="s">
        <v>126</v>
      </c>
      <c r="B12" s="6" t="s">
        <v>127</v>
      </c>
      <c r="C12" s="6" t="s">
        <v>128</v>
      </c>
      <c r="D12" s="6" t="s">
        <v>129</v>
      </c>
      <c r="E12" s="6">
        <v>1</v>
      </c>
      <c r="F12" s="6" t="s">
        <v>19</v>
      </c>
      <c r="G12" s="6" t="s">
        <v>158</v>
      </c>
      <c r="H12" t="str">
        <f t="shared" si="0"/>
        <v>P1_1_rate6</v>
      </c>
    </row>
    <row r="13" spans="1:12" x14ac:dyDescent="0.45">
      <c r="A13" s="6" t="s">
        <v>126</v>
      </c>
      <c r="B13" s="6" t="s">
        <v>127</v>
      </c>
      <c r="C13" s="6" t="s">
        <v>128</v>
      </c>
      <c r="D13" s="6" t="s">
        <v>129</v>
      </c>
      <c r="E13" s="6">
        <v>1</v>
      </c>
      <c r="F13" s="6" t="s">
        <v>19</v>
      </c>
      <c r="G13" s="6" t="s">
        <v>160</v>
      </c>
      <c r="H13" t="str">
        <f t="shared" si="0"/>
        <v>P1_1_max6</v>
      </c>
    </row>
    <row r="14" spans="1:12" x14ac:dyDescent="0.45">
      <c r="A14" s="6" t="s">
        <v>126</v>
      </c>
      <c r="B14" s="6" t="s">
        <v>127</v>
      </c>
      <c r="C14" s="6" t="s">
        <v>128</v>
      </c>
      <c r="D14" s="6" t="s">
        <v>129</v>
      </c>
      <c r="E14" s="6">
        <v>1</v>
      </c>
      <c r="F14" s="6" t="s">
        <v>19</v>
      </c>
      <c r="G14" s="6" t="s">
        <v>162</v>
      </c>
      <c r="H14" t="str">
        <f t="shared" si="0"/>
        <v>P1_1_rate7</v>
      </c>
    </row>
    <row r="15" spans="1:12" x14ac:dyDescent="0.45">
      <c r="A15" s="6" t="s">
        <v>126</v>
      </c>
      <c r="B15" s="6" t="s">
        <v>127</v>
      </c>
      <c r="C15" s="6" t="s">
        <v>128</v>
      </c>
      <c r="D15" s="6" t="s">
        <v>129</v>
      </c>
      <c r="E15" s="6">
        <v>1</v>
      </c>
      <c r="F15" s="6" t="s">
        <v>19</v>
      </c>
      <c r="G15" s="6" t="s">
        <v>164</v>
      </c>
      <c r="H15" t="str">
        <f t="shared" si="0"/>
        <v>P1_1_max7</v>
      </c>
    </row>
    <row r="16" spans="1:12" x14ac:dyDescent="0.45">
      <c r="A16" s="6" t="s">
        <v>126</v>
      </c>
      <c r="B16" s="6" t="s">
        <v>127</v>
      </c>
      <c r="C16" s="6" t="s">
        <v>128</v>
      </c>
      <c r="D16" s="6" t="s">
        <v>129</v>
      </c>
      <c r="E16" s="6">
        <v>1</v>
      </c>
      <c r="F16" s="6" t="s">
        <v>19</v>
      </c>
      <c r="G16" s="6" t="s">
        <v>166</v>
      </c>
      <c r="H16" t="str">
        <f t="shared" si="0"/>
        <v>P1_1_rate8</v>
      </c>
    </row>
    <row r="17" spans="1:8" x14ac:dyDescent="0.45">
      <c r="A17" s="6" t="s">
        <v>126</v>
      </c>
      <c r="B17" s="6" t="s">
        <v>127</v>
      </c>
      <c r="C17" s="6" t="s">
        <v>128</v>
      </c>
      <c r="D17" s="6" t="s">
        <v>129</v>
      </c>
      <c r="E17" s="6">
        <v>1</v>
      </c>
      <c r="F17" s="6" t="s">
        <v>19</v>
      </c>
      <c r="G17" s="6" t="s">
        <v>168</v>
      </c>
      <c r="H17" t="str">
        <f t="shared" si="0"/>
        <v>P1_1_max8</v>
      </c>
    </row>
    <row r="18" spans="1:8" x14ac:dyDescent="0.45">
      <c r="A18" s="6" t="s">
        <v>126</v>
      </c>
      <c r="B18" s="6" t="s">
        <v>127</v>
      </c>
      <c r="C18" s="6" t="s">
        <v>128</v>
      </c>
      <c r="D18" s="6" t="s">
        <v>129</v>
      </c>
      <c r="E18" s="6">
        <v>1</v>
      </c>
      <c r="F18" s="6" t="s">
        <v>19</v>
      </c>
      <c r="G18" s="6" t="s">
        <v>170</v>
      </c>
      <c r="H18" t="str">
        <f t="shared" si="0"/>
        <v>P1_1_rate9</v>
      </c>
    </row>
    <row r="19" spans="1:8" x14ac:dyDescent="0.45">
      <c r="A19" s="6" t="s">
        <v>126</v>
      </c>
      <c r="B19" s="6" t="s">
        <v>127</v>
      </c>
      <c r="C19" s="6" t="s">
        <v>128</v>
      </c>
      <c r="D19" s="6" t="s">
        <v>129</v>
      </c>
      <c r="E19" s="6">
        <v>1</v>
      </c>
      <c r="F19" s="6" t="s">
        <v>19</v>
      </c>
      <c r="G19" s="6" t="s">
        <v>172</v>
      </c>
      <c r="H19" t="str">
        <f t="shared" si="0"/>
        <v>P1_1_max9</v>
      </c>
    </row>
    <row r="20" spans="1:8" x14ac:dyDescent="0.45">
      <c r="A20" s="6" t="s">
        <v>126</v>
      </c>
      <c r="B20" s="6" t="s">
        <v>127</v>
      </c>
      <c r="C20" s="6" t="s">
        <v>128</v>
      </c>
      <c r="D20" s="6" t="s">
        <v>129</v>
      </c>
      <c r="E20" s="6">
        <v>1</v>
      </c>
      <c r="F20" s="6" t="s">
        <v>19</v>
      </c>
      <c r="G20" s="6" t="s">
        <v>174</v>
      </c>
      <c r="H20" t="str">
        <f t="shared" si="0"/>
        <v>P1_1_rate10</v>
      </c>
    </row>
    <row r="21" spans="1:8" x14ac:dyDescent="0.45">
      <c r="A21" s="6" t="s">
        <v>126</v>
      </c>
      <c r="B21" s="6" t="s">
        <v>127</v>
      </c>
      <c r="C21" s="6" t="s">
        <v>128</v>
      </c>
      <c r="D21" s="6" t="s">
        <v>129</v>
      </c>
      <c r="E21" s="6">
        <v>1</v>
      </c>
      <c r="F21" s="6" t="s">
        <v>19</v>
      </c>
      <c r="G21" s="6" t="s">
        <v>326</v>
      </c>
      <c r="H21" t="str">
        <f t="shared" si="0"/>
        <v>P1_1_max10</v>
      </c>
    </row>
    <row r="22" spans="1:8" x14ac:dyDescent="0.45">
      <c r="A22" s="6" t="s">
        <v>126</v>
      </c>
      <c r="B22" s="6" t="s">
        <v>127</v>
      </c>
      <c r="C22" t="s">
        <v>128</v>
      </c>
      <c r="D22" t="s">
        <v>129</v>
      </c>
      <c r="E22" s="4">
        <v>2</v>
      </c>
      <c r="F22" t="s">
        <v>24</v>
      </c>
      <c r="G22" t="s">
        <v>436</v>
      </c>
      <c r="H22" t="str">
        <f>_xlfn.CONCAT(C22, "_", E22, "_", G22)</f>
        <v>P1_2_rate</v>
      </c>
    </row>
    <row r="26" spans="1:8" x14ac:dyDescent="0.45">
      <c r="C26" t="s">
        <v>441</v>
      </c>
      <c r="D26" t="s">
        <v>442</v>
      </c>
      <c r="E26" s="4">
        <v>1</v>
      </c>
      <c r="F26" t="s">
        <v>447</v>
      </c>
      <c r="G26" t="s">
        <v>891</v>
      </c>
      <c r="H26" t="str">
        <f t="shared" ref="H26:H32" si="1">_xlfn.CONCAT(C26, "_", E26, "_", G26)</f>
        <v>P2_1_amount</v>
      </c>
    </row>
    <row r="27" spans="1:8" x14ac:dyDescent="0.45">
      <c r="C27" t="s">
        <v>441</v>
      </c>
      <c r="D27" t="s">
        <v>442</v>
      </c>
      <c r="E27" s="4">
        <v>2</v>
      </c>
      <c r="F27" t="s">
        <v>443</v>
      </c>
      <c r="H27" t="str">
        <f t="shared" si="1"/>
        <v>P2_2_</v>
      </c>
    </row>
    <row r="28" spans="1:8" x14ac:dyDescent="0.45">
      <c r="A28" t="s">
        <v>709</v>
      </c>
      <c r="B28" t="s">
        <v>892</v>
      </c>
      <c r="C28" t="s">
        <v>467</v>
      </c>
      <c r="D28" t="s">
        <v>893</v>
      </c>
      <c r="E28" s="4">
        <v>0</v>
      </c>
      <c r="F28" t="s">
        <v>894</v>
      </c>
      <c r="H28" t="str">
        <f t="shared" si="1"/>
        <v>P3_0_</v>
      </c>
    </row>
    <row r="29" spans="1:8" x14ac:dyDescent="0.45">
      <c r="C29" t="s">
        <v>467</v>
      </c>
      <c r="D29" t="s">
        <v>893</v>
      </c>
      <c r="E29" s="4">
        <v>1</v>
      </c>
      <c r="F29" t="s">
        <v>895</v>
      </c>
      <c r="H29" t="str">
        <f t="shared" si="1"/>
        <v>P3_1_</v>
      </c>
    </row>
    <row r="30" spans="1:8" x14ac:dyDescent="0.45">
      <c r="C30" t="s">
        <v>467</v>
      </c>
      <c r="D30" t="s">
        <v>893</v>
      </c>
      <c r="E30" s="4">
        <v>2</v>
      </c>
      <c r="F30" t="s">
        <v>896</v>
      </c>
      <c r="H30" t="str">
        <f t="shared" si="1"/>
        <v>P3_2_</v>
      </c>
    </row>
    <row r="31" spans="1:8" x14ac:dyDescent="0.45">
      <c r="C31" t="s">
        <v>467</v>
      </c>
      <c r="D31" t="s">
        <v>893</v>
      </c>
      <c r="E31" s="4">
        <v>3</v>
      </c>
      <c r="F31" t="s">
        <v>897</v>
      </c>
      <c r="H31" t="str">
        <f t="shared" si="1"/>
        <v>P3_3_</v>
      </c>
    </row>
    <row r="32" spans="1:8" x14ac:dyDescent="0.45">
      <c r="C32" t="s">
        <v>467</v>
      </c>
      <c r="D32" t="s">
        <v>893</v>
      </c>
      <c r="E32" s="4">
        <v>4</v>
      </c>
      <c r="F32" t="s">
        <v>898</v>
      </c>
      <c r="H32" t="str">
        <f t="shared" si="1"/>
        <v>P3_4_</v>
      </c>
    </row>
    <row r="33" spans="1:11" x14ac:dyDescent="0.45">
      <c r="A33" t="s">
        <v>466</v>
      </c>
      <c r="C33" t="s">
        <v>575</v>
      </c>
      <c r="D33" t="s">
        <v>468</v>
      </c>
      <c r="E33" s="4" t="s">
        <v>469</v>
      </c>
      <c r="F33" t="s">
        <v>470</v>
      </c>
      <c r="G33" t="s">
        <v>436</v>
      </c>
      <c r="H33" s="6" t="s">
        <v>471</v>
      </c>
      <c r="I33">
        <v>1.95</v>
      </c>
      <c r="J33" s="6">
        <v>0.5</v>
      </c>
      <c r="K33">
        <v>0.4</v>
      </c>
    </row>
    <row r="34" spans="1:11" x14ac:dyDescent="0.45">
      <c r="C34" t="s">
        <v>575</v>
      </c>
      <c r="D34" t="s">
        <v>468</v>
      </c>
      <c r="E34" s="4" t="s">
        <v>469</v>
      </c>
      <c r="F34" t="s">
        <v>470</v>
      </c>
      <c r="G34" t="s">
        <v>436</v>
      </c>
      <c r="H34" s="6" t="s">
        <v>472</v>
      </c>
      <c r="I34">
        <v>0.67</v>
      </c>
      <c r="J34" s="6">
        <v>0.05</v>
      </c>
      <c r="K34">
        <v>0.05</v>
      </c>
    </row>
    <row r="35" spans="1:11" x14ac:dyDescent="0.45">
      <c r="C35" t="s">
        <v>575</v>
      </c>
      <c r="D35" t="s">
        <v>468</v>
      </c>
      <c r="E35" s="4" t="s">
        <v>469</v>
      </c>
      <c r="F35" t="s">
        <v>470</v>
      </c>
      <c r="G35" t="s">
        <v>436</v>
      </c>
      <c r="H35" s="6" t="s">
        <v>473</v>
      </c>
      <c r="I35">
        <v>0.8</v>
      </c>
      <c r="J35" s="6">
        <v>0.36</v>
      </c>
      <c r="K35">
        <v>0.05</v>
      </c>
    </row>
    <row r="36" spans="1:11" x14ac:dyDescent="0.45">
      <c r="C36" t="s">
        <v>575</v>
      </c>
      <c r="D36" t="s">
        <v>468</v>
      </c>
      <c r="E36" s="4" t="s">
        <v>469</v>
      </c>
      <c r="F36" t="s">
        <v>470</v>
      </c>
      <c r="G36" t="s">
        <v>436</v>
      </c>
      <c r="H36" s="6" t="s">
        <v>474</v>
      </c>
      <c r="I36">
        <v>7.4999999999999997E-2</v>
      </c>
      <c r="J36" s="6">
        <v>0.35</v>
      </c>
      <c r="K36">
        <v>0.05</v>
      </c>
    </row>
    <row r="37" spans="1:11" x14ac:dyDescent="0.45">
      <c r="C37" t="s">
        <v>575</v>
      </c>
      <c r="D37" t="s">
        <v>468</v>
      </c>
      <c r="E37" s="4" t="s">
        <v>469</v>
      </c>
      <c r="F37" t="s">
        <v>470</v>
      </c>
      <c r="G37" t="s">
        <v>436</v>
      </c>
      <c r="H37" s="6" t="s">
        <v>475</v>
      </c>
      <c r="I37">
        <v>0.1</v>
      </c>
      <c r="J37" s="6">
        <v>0.3</v>
      </c>
      <c r="K37">
        <v>0.12</v>
      </c>
    </row>
    <row r="38" spans="1:11" x14ac:dyDescent="0.45">
      <c r="C38" t="s">
        <v>575</v>
      </c>
      <c r="D38" t="s">
        <v>468</v>
      </c>
      <c r="E38" s="4" t="s">
        <v>469</v>
      </c>
      <c r="F38" t="s">
        <v>470</v>
      </c>
      <c r="G38" t="s">
        <v>436</v>
      </c>
      <c r="H38" s="6" t="s">
        <v>476</v>
      </c>
      <c r="I38">
        <v>0.3</v>
      </c>
      <c r="J38" s="6">
        <v>0.3</v>
      </c>
      <c r="K38">
        <v>0.05</v>
      </c>
    </row>
    <row r="39" spans="1:11" x14ac:dyDescent="0.45">
      <c r="C39" t="s">
        <v>575</v>
      </c>
      <c r="D39" t="s">
        <v>468</v>
      </c>
      <c r="E39" s="4" t="s">
        <v>469</v>
      </c>
      <c r="F39" t="s">
        <v>470</v>
      </c>
      <c r="G39" t="s">
        <v>436</v>
      </c>
      <c r="H39" s="6" t="s">
        <v>477</v>
      </c>
      <c r="I39">
        <v>7.9000000000000001E-2</v>
      </c>
      <c r="J39" s="6">
        <v>0.05</v>
      </c>
      <c r="K39">
        <v>0.65</v>
      </c>
    </row>
    <row r="40" spans="1:11" x14ac:dyDescent="0.45">
      <c r="C40" t="s">
        <v>575</v>
      </c>
      <c r="D40" t="s">
        <v>468</v>
      </c>
      <c r="E40" s="4" t="s">
        <v>469</v>
      </c>
      <c r="F40" t="s">
        <v>470</v>
      </c>
      <c r="G40" t="s">
        <v>436</v>
      </c>
      <c r="H40" s="6" t="s">
        <v>478</v>
      </c>
      <c r="I40">
        <v>9.5000000000000001E-2</v>
      </c>
      <c r="J40" s="6">
        <v>0.05</v>
      </c>
      <c r="K40">
        <v>0.1</v>
      </c>
    </row>
    <row r="41" spans="1:11" x14ac:dyDescent="0.45">
      <c r="C41" t="s">
        <v>575</v>
      </c>
      <c r="D41" t="s">
        <v>468</v>
      </c>
      <c r="E41" s="4" t="s">
        <v>469</v>
      </c>
      <c r="F41" t="s">
        <v>470</v>
      </c>
      <c r="G41" t="s">
        <v>436</v>
      </c>
      <c r="H41" s="6" t="s">
        <v>479</v>
      </c>
      <c r="I41">
        <v>6.3E-2</v>
      </c>
      <c r="J41" s="6">
        <v>0.05</v>
      </c>
      <c r="K41">
        <v>0.15</v>
      </c>
    </row>
    <row r="42" spans="1:11" x14ac:dyDescent="0.45">
      <c r="C42" t="s">
        <v>575</v>
      </c>
      <c r="D42" t="s">
        <v>468</v>
      </c>
      <c r="E42" s="4" t="s">
        <v>469</v>
      </c>
      <c r="F42" t="s">
        <v>470</v>
      </c>
      <c r="G42" t="s">
        <v>436</v>
      </c>
      <c r="H42" s="6" t="s">
        <v>480</v>
      </c>
      <c r="J42" s="6">
        <v>0.05</v>
      </c>
      <c r="K42">
        <v>0.05</v>
      </c>
    </row>
    <row r="43" spans="1:11" x14ac:dyDescent="0.45">
      <c r="C43" t="s">
        <v>575</v>
      </c>
      <c r="D43" t="s">
        <v>468</v>
      </c>
      <c r="E43" s="4" t="s">
        <v>469</v>
      </c>
      <c r="F43" t="s">
        <v>470</v>
      </c>
      <c r="G43" t="s">
        <v>436</v>
      </c>
      <c r="H43" s="6" t="s">
        <v>481</v>
      </c>
      <c r="J43" s="6">
        <v>0.1</v>
      </c>
    </row>
    <row r="44" spans="1:11" x14ac:dyDescent="0.45">
      <c r="C44" t="s">
        <v>575</v>
      </c>
      <c r="D44" t="s">
        <v>468</v>
      </c>
      <c r="E44" s="4" t="s">
        <v>469</v>
      </c>
      <c r="F44" t="s">
        <v>470</v>
      </c>
      <c r="G44" t="s">
        <v>482</v>
      </c>
      <c r="H44" s="6" t="s">
        <v>483</v>
      </c>
      <c r="I44" s="3" t="s">
        <v>484</v>
      </c>
      <c r="J44" s="8" t="s">
        <v>485</v>
      </c>
      <c r="K44" t="s">
        <v>486</v>
      </c>
    </row>
    <row r="45" spans="1:11" x14ac:dyDescent="0.45">
      <c r="C45" t="s">
        <v>575</v>
      </c>
      <c r="D45" t="s">
        <v>468</v>
      </c>
      <c r="E45" s="4" t="s">
        <v>469</v>
      </c>
      <c r="F45" t="s">
        <v>470</v>
      </c>
      <c r="G45" t="s">
        <v>482</v>
      </c>
      <c r="H45" s="6" t="s">
        <v>487</v>
      </c>
      <c r="I45" s="3" t="s">
        <v>488</v>
      </c>
      <c r="J45" s="8" t="s">
        <v>489</v>
      </c>
      <c r="K45" t="s">
        <v>490</v>
      </c>
    </row>
    <row r="46" spans="1:11" x14ac:dyDescent="0.45">
      <c r="C46" t="s">
        <v>575</v>
      </c>
      <c r="D46" t="s">
        <v>468</v>
      </c>
      <c r="E46" s="4" t="s">
        <v>469</v>
      </c>
      <c r="F46" t="s">
        <v>470</v>
      </c>
      <c r="G46" t="s">
        <v>482</v>
      </c>
      <c r="H46" s="6" t="s">
        <v>491</v>
      </c>
      <c r="I46" s="3" t="s">
        <v>492</v>
      </c>
      <c r="J46" s="8" t="s">
        <v>493</v>
      </c>
      <c r="K46" t="s">
        <v>494</v>
      </c>
    </row>
    <row r="47" spans="1:11" x14ac:dyDescent="0.45">
      <c r="C47" t="s">
        <v>575</v>
      </c>
      <c r="D47" t="s">
        <v>468</v>
      </c>
      <c r="E47" s="4" t="s">
        <v>469</v>
      </c>
      <c r="F47" t="s">
        <v>470</v>
      </c>
      <c r="G47" t="s">
        <v>482</v>
      </c>
      <c r="H47" s="6" t="s">
        <v>495</v>
      </c>
      <c r="I47" s="3" t="s">
        <v>496</v>
      </c>
      <c r="J47" s="8" t="s">
        <v>497</v>
      </c>
      <c r="K47" t="s">
        <v>498</v>
      </c>
    </row>
    <row r="48" spans="1:11" x14ac:dyDescent="0.45">
      <c r="C48" t="s">
        <v>575</v>
      </c>
      <c r="D48" t="s">
        <v>468</v>
      </c>
      <c r="E48" s="4" t="s">
        <v>469</v>
      </c>
      <c r="F48" t="s">
        <v>470</v>
      </c>
      <c r="G48" t="s">
        <v>482</v>
      </c>
      <c r="H48" s="6" t="s">
        <v>499</v>
      </c>
      <c r="I48" s="3" t="s">
        <v>500</v>
      </c>
      <c r="J48" s="8" t="s">
        <v>501</v>
      </c>
      <c r="K48" t="s">
        <v>502</v>
      </c>
    </row>
    <row r="49" spans="3:11" x14ac:dyDescent="0.45">
      <c r="C49" t="s">
        <v>575</v>
      </c>
      <c r="D49" t="s">
        <v>468</v>
      </c>
      <c r="E49" s="4" t="s">
        <v>469</v>
      </c>
      <c r="F49" t="s">
        <v>470</v>
      </c>
      <c r="G49" t="s">
        <v>482</v>
      </c>
      <c r="H49" s="6" t="s">
        <v>503</v>
      </c>
      <c r="I49" s="3" t="s">
        <v>504</v>
      </c>
      <c r="J49" s="8" t="s">
        <v>505</v>
      </c>
      <c r="K49" t="s">
        <v>506</v>
      </c>
    </row>
    <row r="50" spans="3:11" x14ac:dyDescent="0.45">
      <c r="C50" t="s">
        <v>575</v>
      </c>
      <c r="D50" t="s">
        <v>468</v>
      </c>
      <c r="E50" s="4" t="s">
        <v>469</v>
      </c>
      <c r="F50" t="s">
        <v>470</v>
      </c>
      <c r="G50" t="s">
        <v>482</v>
      </c>
      <c r="H50" s="6" t="s">
        <v>507</v>
      </c>
      <c r="I50" s="3">
        <v>254</v>
      </c>
      <c r="J50" s="8">
        <v>1006</v>
      </c>
      <c r="K50" s="3">
        <v>201</v>
      </c>
    </row>
    <row r="51" spans="3:11" x14ac:dyDescent="0.45">
      <c r="C51" t="s">
        <v>575</v>
      </c>
      <c r="D51" t="s">
        <v>468</v>
      </c>
      <c r="E51" s="4" t="s">
        <v>469</v>
      </c>
      <c r="F51" t="s">
        <v>470</v>
      </c>
      <c r="G51" t="s">
        <v>482</v>
      </c>
      <c r="H51" s="6" t="s">
        <v>508</v>
      </c>
      <c r="I51" s="3">
        <v>255</v>
      </c>
      <c r="J51" s="8">
        <v>583</v>
      </c>
      <c r="K51" t="s">
        <v>509</v>
      </c>
    </row>
    <row r="52" spans="3:11" x14ac:dyDescent="0.45">
      <c r="C52" t="s">
        <v>575</v>
      </c>
      <c r="D52" t="s">
        <v>468</v>
      </c>
      <c r="E52" s="4" t="s">
        <v>469</v>
      </c>
      <c r="F52" t="s">
        <v>470</v>
      </c>
      <c r="G52" t="s">
        <v>482</v>
      </c>
      <c r="H52" s="6" t="s">
        <v>510</v>
      </c>
      <c r="I52" s="3">
        <v>234</v>
      </c>
      <c r="J52" s="8" t="s">
        <v>511</v>
      </c>
      <c r="K52" t="s">
        <v>512</v>
      </c>
    </row>
    <row r="53" spans="3:11" x14ac:dyDescent="0.45">
      <c r="C53" t="s">
        <v>575</v>
      </c>
      <c r="D53" t="s">
        <v>468</v>
      </c>
      <c r="E53" s="4" t="s">
        <v>469</v>
      </c>
      <c r="F53" t="s">
        <v>470</v>
      </c>
      <c r="G53" t="s">
        <v>482</v>
      </c>
      <c r="H53" s="6" t="s">
        <v>513</v>
      </c>
      <c r="J53" s="8" t="s">
        <v>514</v>
      </c>
      <c r="K53" t="s">
        <v>515</v>
      </c>
    </row>
    <row r="54" spans="3:11" x14ac:dyDescent="0.45">
      <c r="C54" t="s">
        <v>575</v>
      </c>
      <c r="D54" t="s">
        <v>468</v>
      </c>
      <c r="E54" s="4" t="s">
        <v>469</v>
      </c>
      <c r="F54" t="s">
        <v>470</v>
      </c>
      <c r="G54" t="s">
        <v>482</v>
      </c>
      <c r="H54" s="6" t="s">
        <v>516</v>
      </c>
      <c r="J54" s="8" t="s">
        <v>517</v>
      </c>
    </row>
    <row r="55" spans="3:11" x14ac:dyDescent="0.45">
      <c r="C55" t="s">
        <v>575</v>
      </c>
      <c r="D55" t="s">
        <v>468</v>
      </c>
      <c r="E55" s="4" t="s">
        <v>469</v>
      </c>
      <c r="F55" t="s">
        <v>470</v>
      </c>
      <c r="G55" t="s">
        <v>436</v>
      </c>
      <c r="H55" t="s">
        <v>518</v>
      </c>
      <c r="I55">
        <v>-0.56999999999999995</v>
      </c>
      <c r="J55" s="6">
        <v>-0.56999999999999995</v>
      </c>
      <c r="K55">
        <v>-0.56999999999999995</v>
      </c>
    </row>
    <row r="56" spans="3:11" x14ac:dyDescent="0.45">
      <c r="C56" t="s">
        <v>575</v>
      </c>
      <c r="D56" t="s">
        <v>468</v>
      </c>
      <c r="E56" s="4" t="s">
        <v>469</v>
      </c>
      <c r="F56" t="s">
        <v>470</v>
      </c>
      <c r="G56" t="s">
        <v>436</v>
      </c>
      <c r="H56" t="s">
        <v>519</v>
      </c>
      <c r="I56">
        <v>-0.4</v>
      </c>
      <c r="J56" s="6">
        <v>-0.56999999999999995</v>
      </c>
      <c r="K56">
        <v>-0.56999999999999995</v>
      </c>
    </row>
    <row r="57" spans="3:11" x14ac:dyDescent="0.45">
      <c r="C57" t="s">
        <v>575</v>
      </c>
      <c r="D57" t="s">
        <v>468</v>
      </c>
      <c r="E57" s="4" t="s">
        <v>469</v>
      </c>
      <c r="F57" t="s">
        <v>470</v>
      </c>
      <c r="G57" t="s">
        <v>436</v>
      </c>
      <c r="H57" t="s">
        <v>520</v>
      </c>
      <c r="I57">
        <v>-0.56999999999999995</v>
      </c>
      <c r="J57" s="6">
        <v>-0.56999999999999995</v>
      </c>
      <c r="K57">
        <v>0</v>
      </c>
    </row>
    <row r="58" spans="3:11" x14ac:dyDescent="0.45">
      <c r="C58" t="s">
        <v>575</v>
      </c>
      <c r="D58" t="s">
        <v>468</v>
      </c>
      <c r="E58" s="4" t="s">
        <v>469</v>
      </c>
      <c r="F58" t="s">
        <v>470</v>
      </c>
      <c r="G58" t="s">
        <v>436</v>
      </c>
      <c r="H58" t="s">
        <v>521</v>
      </c>
      <c r="I58">
        <v>0</v>
      </c>
      <c r="J58" s="6">
        <v>-0.56999999999999995</v>
      </c>
      <c r="K58">
        <v>0</v>
      </c>
    </row>
    <row r="59" spans="3:11" x14ac:dyDescent="0.45">
      <c r="C59" t="s">
        <v>575</v>
      </c>
      <c r="D59" t="s">
        <v>468</v>
      </c>
      <c r="E59" s="4" t="s">
        <v>469</v>
      </c>
      <c r="F59" t="s">
        <v>470</v>
      </c>
      <c r="G59" t="s">
        <v>436</v>
      </c>
      <c r="H59" t="s">
        <v>522</v>
      </c>
      <c r="I59">
        <v>-0.56999999999999995</v>
      </c>
      <c r="J59" s="6">
        <v>-0.4</v>
      </c>
      <c r="K59">
        <v>0</v>
      </c>
    </row>
    <row r="60" spans="3:11" x14ac:dyDescent="0.45">
      <c r="C60" t="s">
        <v>575</v>
      </c>
      <c r="D60" t="s">
        <v>468</v>
      </c>
      <c r="E60" s="4" t="s">
        <v>469</v>
      </c>
      <c r="F60" t="s">
        <v>470</v>
      </c>
      <c r="G60" t="s">
        <v>436</v>
      </c>
      <c r="H60" t="s">
        <v>523</v>
      </c>
      <c r="I60">
        <v>0</v>
      </c>
      <c r="J60" s="6">
        <v>-0.4</v>
      </c>
      <c r="K60">
        <v>-0.56999999999999995</v>
      </c>
    </row>
    <row r="61" spans="3:11" x14ac:dyDescent="0.45">
      <c r="C61" t="s">
        <v>575</v>
      </c>
      <c r="D61" t="s">
        <v>468</v>
      </c>
      <c r="E61" s="4" t="s">
        <v>469</v>
      </c>
      <c r="F61" t="s">
        <v>470</v>
      </c>
      <c r="G61" t="s">
        <v>436</v>
      </c>
      <c r="H61" t="s">
        <v>524</v>
      </c>
      <c r="I61">
        <v>-0.56999999999999995</v>
      </c>
      <c r="J61" s="6">
        <v>0</v>
      </c>
      <c r="K61">
        <v>-0.4</v>
      </c>
    </row>
    <row r="62" spans="3:11" x14ac:dyDescent="0.45">
      <c r="C62" t="s">
        <v>575</v>
      </c>
      <c r="D62" t="s">
        <v>468</v>
      </c>
      <c r="E62" s="4" t="s">
        <v>469</v>
      </c>
      <c r="F62" t="s">
        <v>470</v>
      </c>
      <c r="G62" t="s">
        <v>436</v>
      </c>
      <c r="H62" t="s">
        <v>525</v>
      </c>
      <c r="I62">
        <v>-0.56999999999999995</v>
      </c>
      <c r="J62" s="6">
        <v>0</v>
      </c>
      <c r="K62">
        <v>0</v>
      </c>
    </row>
    <row r="63" spans="3:11" x14ac:dyDescent="0.45">
      <c r="C63" t="s">
        <v>575</v>
      </c>
      <c r="D63" t="s">
        <v>468</v>
      </c>
      <c r="E63" s="4" t="s">
        <v>469</v>
      </c>
      <c r="F63" t="s">
        <v>470</v>
      </c>
      <c r="G63" t="s">
        <v>436</v>
      </c>
      <c r="H63" t="s">
        <v>526</v>
      </c>
      <c r="I63">
        <v>-0.56999999999999995</v>
      </c>
      <c r="J63" s="6">
        <v>0</v>
      </c>
      <c r="K63">
        <v>0</v>
      </c>
    </row>
    <row r="64" spans="3:11" x14ac:dyDescent="0.45">
      <c r="C64" t="s">
        <v>575</v>
      </c>
      <c r="D64" t="s">
        <v>468</v>
      </c>
      <c r="E64" s="4" t="s">
        <v>469</v>
      </c>
      <c r="F64" t="s">
        <v>470</v>
      </c>
      <c r="G64" t="s">
        <v>436</v>
      </c>
      <c r="H64" t="s">
        <v>527</v>
      </c>
      <c r="J64" s="6">
        <v>0</v>
      </c>
      <c r="K64">
        <v>0</v>
      </c>
    </row>
    <row r="65" spans="3:11" x14ac:dyDescent="0.45">
      <c r="C65" t="s">
        <v>575</v>
      </c>
      <c r="D65" t="s">
        <v>468</v>
      </c>
      <c r="E65" s="4" t="s">
        <v>469</v>
      </c>
      <c r="F65" t="s">
        <v>470</v>
      </c>
      <c r="G65" t="s">
        <v>436</v>
      </c>
      <c r="H65" t="s">
        <v>528</v>
      </c>
      <c r="J65" s="6">
        <v>-0.2</v>
      </c>
    </row>
    <row r="66" spans="3:11" x14ac:dyDescent="0.45">
      <c r="C66" t="s">
        <v>575</v>
      </c>
      <c r="D66" t="s">
        <v>468</v>
      </c>
      <c r="E66" s="4" t="s">
        <v>469</v>
      </c>
      <c r="F66" t="s">
        <v>470</v>
      </c>
      <c r="H66" t="s">
        <v>529</v>
      </c>
      <c r="I66" t="s">
        <v>530</v>
      </c>
      <c r="J66" s="6" t="s">
        <v>531</v>
      </c>
      <c r="K66" t="s">
        <v>532</v>
      </c>
    </row>
    <row r="67" spans="3:11" x14ac:dyDescent="0.45">
      <c r="C67" t="s">
        <v>575</v>
      </c>
      <c r="D67" t="s">
        <v>468</v>
      </c>
      <c r="E67" s="4" t="s">
        <v>469</v>
      </c>
      <c r="F67" t="s">
        <v>470</v>
      </c>
      <c r="H67" t="s">
        <v>533</v>
      </c>
      <c r="I67" t="s">
        <v>534</v>
      </c>
      <c r="J67" s="6" t="s">
        <v>535</v>
      </c>
      <c r="K67" t="s">
        <v>536</v>
      </c>
    </row>
    <row r="68" spans="3:11" x14ac:dyDescent="0.45">
      <c r="C68" t="s">
        <v>575</v>
      </c>
      <c r="D68" t="s">
        <v>468</v>
      </c>
      <c r="E68" s="4" t="s">
        <v>469</v>
      </c>
      <c r="F68" t="s">
        <v>470</v>
      </c>
      <c r="H68" t="s">
        <v>537</v>
      </c>
      <c r="I68" t="s">
        <v>538</v>
      </c>
      <c r="J68" s="6" t="s">
        <v>539</v>
      </c>
      <c r="K68" t="s">
        <v>540</v>
      </c>
    </row>
    <row r="69" spans="3:11" x14ac:dyDescent="0.45">
      <c r="C69" t="s">
        <v>575</v>
      </c>
      <c r="D69" t="s">
        <v>468</v>
      </c>
      <c r="E69" s="4" t="s">
        <v>469</v>
      </c>
      <c r="F69" t="s">
        <v>470</v>
      </c>
      <c r="H69" t="s">
        <v>541</v>
      </c>
      <c r="I69" t="s">
        <v>542</v>
      </c>
      <c r="J69" s="6" t="s">
        <v>543</v>
      </c>
      <c r="K69" t="s">
        <v>544</v>
      </c>
    </row>
    <row r="70" spans="3:11" x14ac:dyDescent="0.45">
      <c r="C70" t="s">
        <v>575</v>
      </c>
      <c r="D70" t="s">
        <v>468</v>
      </c>
      <c r="E70" s="4" t="s">
        <v>469</v>
      </c>
      <c r="F70" t="s">
        <v>470</v>
      </c>
      <c r="H70" t="s">
        <v>545</v>
      </c>
      <c r="I70" t="s">
        <v>546</v>
      </c>
      <c r="J70" s="6" t="s">
        <v>547</v>
      </c>
      <c r="K70" t="s">
        <v>548</v>
      </c>
    </row>
    <row r="71" spans="3:11" x14ac:dyDescent="0.45">
      <c r="C71" t="s">
        <v>575</v>
      </c>
      <c r="D71" t="s">
        <v>468</v>
      </c>
      <c r="E71" s="4" t="s">
        <v>469</v>
      </c>
      <c r="F71" t="s">
        <v>470</v>
      </c>
      <c r="H71" t="s">
        <v>549</v>
      </c>
      <c r="I71" t="s">
        <v>550</v>
      </c>
      <c r="J71" s="6" t="s">
        <v>551</v>
      </c>
      <c r="K71" t="s">
        <v>552</v>
      </c>
    </row>
    <row r="72" spans="3:11" x14ac:dyDescent="0.45">
      <c r="C72" t="s">
        <v>575</v>
      </c>
      <c r="D72" t="s">
        <v>468</v>
      </c>
      <c r="E72" s="4" t="s">
        <v>469</v>
      </c>
      <c r="F72" t="s">
        <v>470</v>
      </c>
      <c r="H72" t="s">
        <v>553</v>
      </c>
      <c r="I72" t="s">
        <v>554</v>
      </c>
      <c r="J72" s="6" t="s">
        <v>555</v>
      </c>
      <c r="K72" t="s">
        <v>551</v>
      </c>
    </row>
    <row r="73" spans="3:11" x14ac:dyDescent="0.45">
      <c r="C73" t="s">
        <v>575</v>
      </c>
      <c r="D73" t="s">
        <v>468</v>
      </c>
      <c r="E73" s="4" t="s">
        <v>469</v>
      </c>
      <c r="F73" t="s">
        <v>470</v>
      </c>
      <c r="H73" t="s">
        <v>556</v>
      </c>
      <c r="I73" t="s">
        <v>557</v>
      </c>
      <c r="J73" s="6" t="s">
        <v>558</v>
      </c>
      <c r="K73" t="s">
        <v>559</v>
      </c>
    </row>
    <row r="74" spans="3:11" x14ac:dyDescent="0.45">
      <c r="C74" t="s">
        <v>575</v>
      </c>
      <c r="D74" t="s">
        <v>468</v>
      </c>
      <c r="E74" s="4" t="s">
        <v>469</v>
      </c>
      <c r="F74" t="s">
        <v>470</v>
      </c>
      <c r="H74" t="s">
        <v>560</v>
      </c>
      <c r="I74" t="s">
        <v>561</v>
      </c>
      <c r="J74" s="6" t="s">
        <v>562</v>
      </c>
      <c r="K74" t="s">
        <v>563</v>
      </c>
    </row>
    <row r="75" spans="3:11" x14ac:dyDescent="0.45">
      <c r="C75" t="s">
        <v>575</v>
      </c>
      <c r="D75" t="s">
        <v>468</v>
      </c>
      <c r="E75" s="4" t="s">
        <v>469</v>
      </c>
      <c r="F75" t="s">
        <v>470</v>
      </c>
      <c r="H75" t="s">
        <v>564</v>
      </c>
      <c r="J75" s="6" t="s">
        <v>565</v>
      </c>
      <c r="K75" t="s">
        <v>566</v>
      </c>
    </row>
    <row r="76" spans="3:11" x14ac:dyDescent="0.45">
      <c r="C76" t="s">
        <v>575</v>
      </c>
      <c r="D76" t="s">
        <v>468</v>
      </c>
      <c r="E76" s="4" t="s">
        <v>469</v>
      </c>
      <c r="F76" t="s">
        <v>470</v>
      </c>
      <c r="H76" t="s">
        <v>567</v>
      </c>
      <c r="J76" s="6" t="s">
        <v>568</v>
      </c>
    </row>
    <row r="77" spans="3:11" x14ac:dyDescent="0.45">
      <c r="C77" t="s">
        <v>575</v>
      </c>
      <c r="D77" t="s">
        <v>468</v>
      </c>
      <c r="E77" s="4" t="s">
        <v>469</v>
      </c>
      <c r="F77" t="s">
        <v>470</v>
      </c>
      <c r="H77" t="s">
        <v>569</v>
      </c>
      <c r="I77" s="4">
        <v>9</v>
      </c>
      <c r="J77">
        <v>11</v>
      </c>
      <c r="K77">
        <v>10</v>
      </c>
    </row>
    <row r="78" spans="3:11" x14ac:dyDescent="0.45">
      <c r="C78" t="s">
        <v>575</v>
      </c>
      <c r="D78" t="s">
        <v>468</v>
      </c>
      <c r="E78" s="4" t="s">
        <v>570</v>
      </c>
      <c r="F78" t="s">
        <v>571</v>
      </c>
      <c r="H78" t="s">
        <v>572</v>
      </c>
      <c r="I78">
        <v>0</v>
      </c>
      <c r="J78">
        <v>0</v>
      </c>
      <c r="K78">
        <v>0</v>
      </c>
    </row>
    <row r="79" spans="3:11" x14ac:dyDescent="0.45">
      <c r="C79" t="s">
        <v>575</v>
      </c>
      <c r="D79" t="s">
        <v>468</v>
      </c>
      <c r="E79" s="4" t="s">
        <v>469</v>
      </c>
      <c r="F79" t="s">
        <v>470</v>
      </c>
      <c r="H79" t="s">
        <v>573</v>
      </c>
      <c r="I79">
        <v>0</v>
      </c>
      <c r="J79">
        <v>0</v>
      </c>
      <c r="K79">
        <v>0</v>
      </c>
    </row>
    <row r="80" spans="3:11" x14ac:dyDescent="0.45">
      <c r="C80" t="s">
        <v>575</v>
      </c>
      <c r="D80" t="s">
        <v>468</v>
      </c>
      <c r="E80" s="4" t="s">
        <v>899</v>
      </c>
      <c r="F80" t="s">
        <v>900</v>
      </c>
    </row>
    <row r="81" spans="3:6" x14ac:dyDescent="0.45">
      <c r="C81" t="s">
        <v>575</v>
      </c>
      <c r="D81" t="s">
        <v>468</v>
      </c>
      <c r="E81" s="4" t="s">
        <v>901</v>
      </c>
      <c r="F81" t="s">
        <v>902</v>
      </c>
    </row>
    <row r="82" spans="3:6" x14ac:dyDescent="0.45">
      <c r="C82" t="s">
        <v>903</v>
      </c>
      <c r="D82" t="s">
        <v>904</v>
      </c>
      <c r="E82" s="4" t="s">
        <v>905</v>
      </c>
      <c r="F82" t="s">
        <v>906</v>
      </c>
    </row>
    <row r="83" spans="3:6" x14ac:dyDescent="0.45">
      <c r="C83" t="s">
        <v>903</v>
      </c>
      <c r="D83" t="s">
        <v>904</v>
      </c>
      <c r="E83" s="4" t="s">
        <v>907</v>
      </c>
    </row>
    <row r="84" spans="3:6" x14ac:dyDescent="0.45">
      <c r="C84" t="s">
        <v>903</v>
      </c>
      <c r="D84" t="s">
        <v>904</v>
      </c>
      <c r="E84" s="4" t="s">
        <v>570</v>
      </c>
    </row>
    <row r="85" spans="3:6" x14ac:dyDescent="0.45">
      <c r="C85" t="s">
        <v>903</v>
      </c>
      <c r="D85" t="s">
        <v>904</v>
      </c>
      <c r="E85" s="4" t="s">
        <v>908</v>
      </c>
    </row>
    <row r="86" spans="3:6" x14ac:dyDescent="0.45">
      <c r="C86" t="s">
        <v>903</v>
      </c>
      <c r="D86" t="s">
        <v>904</v>
      </c>
      <c r="E86" s="4" t="s">
        <v>899</v>
      </c>
    </row>
    <row r="87" spans="3:6" x14ac:dyDescent="0.45">
      <c r="C87" t="s">
        <v>903</v>
      </c>
      <c r="D87" t="s">
        <v>904</v>
      </c>
      <c r="E87" s="4" t="s">
        <v>901</v>
      </c>
    </row>
    <row r="88" spans="3:6" x14ac:dyDescent="0.45">
      <c r="C88" t="s">
        <v>909</v>
      </c>
      <c r="D88" t="s">
        <v>910</v>
      </c>
      <c r="E88" s="4">
        <v>1</v>
      </c>
    </row>
    <row r="89" spans="3:6" x14ac:dyDescent="0.45">
      <c r="C89" t="s">
        <v>909</v>
      </c>
      <c r="D89" t="s">
        <v>910</v>
      </c>
      <c r="E89" s="4">
        <v>11</v>
      </c>
    </row>
    <row r="90" spans="3:6" x14ac:dyDescent="0.45">
      <c r="C90" t="s">
        <v>909</v>
      </c>
      <c r="D90" t="s">
        <v>910</v>
      </c>
      <c r="E90" s="4">
        <v>12</v>
      </c>
    </row>
    <row r="91" spans="3:6" x14ac:dyDescent="0.45">
      <c r="C91" t="s">
        <v>909</v>
      </c>
      <c r="D91" t="s">
        <v>910</v>
      </c>
      <c r="E91" s="4">
        <v>13</v>
      </c>
    </row>
    <row r="92" spans="3:6" x14ac:dyDescent="0.45">
      <c r="C92" t="s">
        <v>909</v>
      </c>
      <c r="D92" t="s">
        <v>910</v>
      </c>
      <c r="E92" s="4">
        <v>14</v>
      </c>
    </row>
    <row r="93" spans="3:6" x14ac:dyDescent="0.45">
      <c r="C93" t="s">
        <v>909</v>
      </c>
      <c r="D93" t="s">
        <v>910</v>
      </c>
      <c r="E93" s="4">
        <v>2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0F53-214E-4B4A-90B7-AD25E2A75495}">
  <sheetPr>
    <tabColor theme="7" tint="0.59999389629810485"/>
  </sheetPr>
  <dimension ref="A1:J614"/>
  <sheetViews>
    <sheetView topLeftCell="A287" workbookViewId="0">
      <selection activeCell="H13" sqref="H13"/>
    </sheetView>
  </sheetViews>
  <sheetFormatPr defaultColWidth="8.73046875" defaultRowHeight="14.25" x14ac:dyDescent="0.45"/>
  <cols>
    <col min="5" max="5" width="12.3984375" bestFit="1" customWidth="1"/>
    <col min="9" max="9" width="8.86328125" bestFit="1" customWidth="1"/>
    <col min="10" max="10" width="9.265625" bestFit="1" customWidth="1"/>
  </cols>
  <sheetData>
    <row r="1" spans="1:10" x14ac:dyDescent="0.45">
      <c r="A1" t="s">
        <v>911</v>
      </c>
      <c r="B1" t="s">
        <v>912</v>
      </c>
      <c r="C1" t="s">
        <v>913</v>
      </c>
      <c r="D1" s="2" t="s">
        <v>914</v>
      </c>
      <c r="E1" t="s">
        <v>915</v>
      </c>
      <c r="F1" t="s">
        <v>916</v>
      </c>
      <c r="G1" t="s">
        <v>917</v>
      </c>
      <c r="H1" t="s">
        <v>918</v>
      </c>
      <c r="I1" t="s">
        <v>919</v>
      </c>
      <c r="J1" t="s">
        <v>920</v>
      </c>
    </row>
    <row r="2" spans="1:10" x14ac:dyDescent="0.45">
      <c r="A2" s="11">
        <v>1</v>
      </c>
      <c r="B2" s="11" t="s">
        <v>921</v>
      </c>
      <c r="C2" s="11">
        <v>0</v>
      </c>
      <c r="D2" s="11">
        <v>1</v>
      </c>
      <c r="E2" s="11">
        <v>0</v>
      </c>
      <c r="F2" s="11">
        <v>-0.434</v>
      </c>
      <c r="G2" s="11">
        <v>1</v>
      </c>
      <c r="H2" s="11">
        <v>0</v>
      </c>
      <c r="I2" s="11">
        <v>0</v>
      </c>
      <c r="J2" s="11">
        <v>1</v>
      </c>
    </row>
    <row r="3" spans="1:10" x14ac:dyDescent="0.45">
      <c r="A3" s="11">
        <v>2</v>
      </c>
      <c r="B3" s="11" t="s">
        <v>922</v>
      </c>
      <c r="C3" s="11">
        <v>0</v>
      </c>
      <c r="D3" s="11">
        <v>1</v>
      </c>
      <c r="E3" s="11">
        <v>0</v>
      </c>
      <c r="F3" s="11">
        <v>-0.434</v>
      </c>
      <c r="G3" s="11">
        <v>1</v>
      </c>
      <c r="H3" s="11">
        <v>0</v>
      </c>
      <c r="I3" s="11">
        <v>0</v>
      </c>
      <c r="J3" s="11">
        <v>1</v>
      </c>
    </row>
    <row r="4" spans="1:10" x14ac:dyDescent="0.45">
      <c r="A4" s="11">
        <v>3</v>
      </c>
      <c r="B4" s="11" t="s">
        <v>923</v>
      </c>
      <c r="C4" s="11">
        <v>0.18</v>
      </c>
      <c r="D4" s="11">
        <v>0</v>
      </c>
      <c r="E4" s="11">
        <v>1</v>
      </c>
      <c r="F4" s="11">
        <v>-0.434</v>
      </c>
      <c r="G4" s="11">
        <v>1</v>
      </c>
      <c r="H4" s="11">
        <v>0</v>
      </c>
      <c r="I4" s="11">
        <v>0.11</v>
      </c>
      <c r="J4" s="11">
        <v>1</v>
      </c>
    </row>
    <row r="5" spans="1:10" x14ac:dyDescent="0.45">
      <c r="A5" s="11">
        <v>4</v>
      </c>
      <c r="B5" s="11" t="s">
        <v>924</v>
      </c>
      <c r="C5" s="11">
        <v>0.18</v>
      </c>
      <c r="D5" s="11">
        <v>0</v>
      </c>
      <c r="E5" s="11">
        <v>1</v>
      </c>
      <c r="F5" s="11">
        <v>-0.434</v>
      </c>
      <c r="G5" s="11">
        <v>1</v>
      </c>
      <c r="H5" s="11">
        <v>0</v>
      </c>
      <c r="I5" s="11">
        <v>0.11</v>
      </c>
      <c r="J5" s="11">
        <v>1</v>
      </c>
    </row>
    <row r="6" spans="1:10" x14ac:dyDescent="0.45">
      <c r="A6" s="11">
        <v>5</v>
      </c>
      <c r="B6" s="11" t="s">
        <v>925</v>
      </c>
      <c r="C6" s="11">
        <v>0</v>
      </c>
      <c r="D6" s="11">
        <v>1</v>
      </c>
      <c r="E6" s="11">
        <v>1</v>
      </c>
      <c r="F6" s="11">
        <v>-0.434</v>
      </c>
      <c r="G6" s="11">
        <v>1</v>
      </c>
      <c r="H6" s="11">
        <v>0</v>
      </c>
      <c r="I6" s="11">
        <v>0.06</v>
      </c>
      <c r="J6" s="11">
        <v>1</v>
      </c>
    </row>
    <row r="7" spans="1:10" x14ac:dyDescent="0.45">
      <c r="A7" s="11">
        <v>6</v>
      </c>
      <c r="B7" s="11" t="s">
        <v>926</v>
      </c>
      <c r="C7" s="11">
        <v>0</v>
      </c>
      <c r="D7" s="11">
        <v>1</v>
      </c>
      <c r="E7" s="11">
        <v>1</v>
      </c>
      <c r="F7" s="11">
        <v>-0.434</v>
      </c>
      <c r="G7" s="11">
        <v>1</v>
      </c>
      <c r="H7" s="11">
        <v>0</v>
      </c>
      <c r="I7" s="11">
        <v>0.06</v>
      </c>
      <c r="J7" s="11">
        <v>1</v>
      </c>
    </row>
    <row r="8" spans="1:10" x14ac:dyDescent="0.45">
      <c r="A8" s="11">
        <v>7</v>
      </c>
      <c r="B8" s="11" t="s">
        <v>927</v>
      </c>
      <c r="C8" s="11">
        <v>0</v>
      </c>
      <c r="D8" s="11">
        <v>1</v>
      </c>
      <c r="E8" s="11">
        <v>0</v>
      </c>
      <c r="F8" s="11">
        <v>-0.434</v>
      </c>
      <c r="G8" s="11">
        <v>1</v>
      </c>
      <c r="H8" s="11">
        <v>0</v>
      </c>
      <c r="I8" s="11">
        <v>0</v>
      </c>
      <c r="J8" s="11">
        <v>1</v>
      </c>
    </row>
    <row r="9" spans="1:10" x14ac:dyDescent="0.45">
      <c r="A9" s="11">
        <v>8</v>
      </c>
      <c r="B9" s="11" t="s">
        <v>928</v>
      </c>
      <c r="C9" s="11">
        <v>0</v>
      </c>
      <c r="D9" s="11">
        <v>1</v>
      </c>
      <c r="E9" s="11">
        <v>0</v>
      </c>
      <c r="F9" s="11">
        <v>-0.434</v>
      </c>
      <c r="G9" s="11">
        <v>1</v>
      </c>
      <c r="H9" s="11">
        <v>0</v>
      </c>
      <c r="I9" s="11">
        <v>0</v>
      </c>
      <c r="J9" s="11">
        <v>1</v>
      </c>
    </row>
    <row r="10" spans="1:10" x14ac:dyDescent="0.45">
      <c r="A10" s="11">
        <v>9</v>
      </c>
      <c r="B10" s="11" t="s">
        <v>929</v>
      </c>
      <c r="C10" s="11">
        <v>0</v>
      </c>
      <c r="D10" s="11">
        <v>1</v>
      </c>
      <c r="E10" s="11">
        <v>0</v>
      </c>
      <c r="F10" s="11">
        <v>-0.434</v>
      </c>
      <c r="G10" s="11">
        <v>1</v>
      </c>
      <c r="H10" s="11">
        <v>0</v>
      </c>
      <c r="I10" s="11">
        <v>0</v>
      </c>
      <c r="J10" s="11">
        <v>1</v>
      </c>
    </row>
    <row r="11" spans="1:10" x14ac:dyDescent="0.45">
      <c r="A11" s="11">
        <v>10</v>
      </c>
      <c r="B11" s="11" t="s">
        <v>930</v>
      </c>
      <c r="C11" s="11">
        <v>0</v>
      </c>
      <c r="D11" s="11">
        <v>1</v>
      </c>
      <c r="E11" s="11">
        <v>0</v>
      </c>
      <c r="F11" s="11">
        <v>-0.434</v>
      </c>
      <c r="G11" s="11">
        <v>1</v>
      </c>
      <c r="H11" s="11">
        <v>0</v>
      </c>
      <c r="I11" s="11">
        <v>0</v>
      </c>
      <c r="J11" s="11">
        <v>1</v>
      </c>
    </row>
    <row r="12" spans="1:10" x14ac:dyDescent="0.45">
      <c r="A12" s="11">
        <v>11</v>
      </c>
      <c r="B12" s="11" t="s">
        <v>931</v>
      </c>
      <c r="C12" s="11">
        <v>0</v>
      </c>
      <c r="D12" s="11">
        <v>1</v>
      </c>
      <c r="E12" s="11">
        <v>0</v>
      </c>
      <c r="F12" s="11">
        <v>-0.434</v>
      </c>
      <c r="G12" s="11">
        <v>1</v>
      </c>
      <c r="H12" s="11">
        <v>0</v>
      </c>
      <c r="I12" s="11">
        <v>0</v>
      </c>
      <c r="J12" s="11">
        <v>1</v>
      </c>
    </row>
    <row r="13" spans="1:10" x14ac:dyDescent="0.45">
      <c r="A13" s="11">
        <v>12</v>
      </c>
      <c r="B13" s="11" t="s">
        <v>932</v>
      </c>
      <c r="C13" s="11">
        <v>0.18</v>
      </c>
      <c r="D13" s="11">
        <v>0</v>
      </c>
      <c r="E13" s="11">
        <v>1</v>
      </c>
      <c r="F13" s="11">
        <v>-0.434</v>
      </c>
      <c r="G13" s="11">
        <v>6</v>
      </c>
      <c r="H13" s="11">
        <v>1</v>
      </c>
      <c r="I13" s="11">
        <v>0.21</v>
      </c>
      <c r="J13" s="11">
        <v>1</v>
      </c>
    </row>
    <row r="14" spans="1:10" x14ac:dyDescent="0.45">
      <c r="A14" s="11">
        <v>13</v>
      </c>
      <c r="B14" s="11" t="s">
        <v>933</v>
      </c>
      <c r="C14" s="11">
        <v>0.18</v>
      </c>
      <c r="D14" s="11">
        <v>0</v>
      </c>
      <c r="E14" s="11">
        <v>1</v>
      </c>
      <c r="F14" s="11">
        <v>-0.434</v>
      </c>
      <c r="G14" s="11">
        <v>6</v>
      </c>
      <c r="H14" s="11">
        <v>1</v>
      </c>
      <c r="I14" s="11">
        <v>0.20698</v>
      </c>
      <c r="J14" s="11">
        <v>1</v>
      </c>
    </row>
    <row r="15" spans="1:10" x14ac:dyDescent="0.45">
      <c r="A15" s="11">
        <v>14</v>
      </c>
      <c r="B15" s="11" t="s">
        <v>934</v>
      </c>
      <c r="C15" s="11">
        <v>0.18</v>
      </c>
      <c r="D15" s="11">
        <v>0</v>
      </c>
      <c r="E15" s="11">
        <v>1</v>
      </c>
      <c r="F15" s="11">
        <v>-0.434</v>
      </c>
      <c r="G15" s="11">
        <v>6</v>
      </c>
      <c r="H15" s="11">
        <v>1</v>
      </c>
      <c r="I15" s="11">
        <v>0.21</v>
      </c>
      <c r="J15" s="11">
        <v>1</v>
      </c>
    </row>
    <row r="16" spans="1:10" x14ac:dyDescent="0.45">
      <c r="A16" s="11">
        <v>15</v>
      </c>
      <c r="B16" s="11" t="s">
        <v>935</v>
      </c>
      <c r="C16" s="11">
        <v>0.18</v>
      </c>
      <c r="D16" s="11">
        <v>0</v>
      </c>
      <c r="E16" s="11">
        <v>1</v>
      </c>
      <c r="F16" s="11">
        <v>-0.434</v>
      </c>
      <c r="G16" s="11">
        <v>6</v>
      </c>
      <c r="H16" s="11">
        <v>1</v>
      </c>
      <c r="I16" s="11">
        <v>0.21</v>
      </c>
      <c r="J16" s="11">
        <v>1</v>
      </c>
    </row>
    <row r="17" spans="1:10" x14ac:dyDescent="0.45">
      <c r="A17" s="11">
        <v>16</v>
      </c>
      <c r="B17" s="11" t="s">
        <v>936</v>
      </c>
      <c r="C17" s="11">
        <v>0.18</v>
      </c>
      <c r="D17" s="11">
        <v>0</v>
      </c>
      <c r="E17" s="11">
        <v>1</v>
      </c>
      <c r="F17" s="11">
        <v>-0.434</v>
      </c>
      <c r="G17" s="11">
        <v>6</v>
      </c>
      <c r="H17" s="11">
        <v>1</v>
      </c>
      <c r="I17" s="11">
        <v>2.1659999999999999E-2</v>
      </c>
      <c r="J17" s="11">
        <v>1</v>
      </c>
    </row>
    <row r="18" spans="1:10" x14ac:dyDescent="0.45">
      <c r="A18" s="11">
        <v>17</v>
      </c>
      <c r="B18" s="11" t="s">
        <v>937</v>
      </c>
      <c r="C18" s="11">
        <v>0.18</v>
      </c>
      <c r="D18" s="11">
        <v>0</v>
      </c>
      <c r="E18" s="11">
        <v>1</v>
      </c>
      <c r="F18" s="11">
        <v>-0.434</v>
      </c>
      <c r="G18" s="11">
        <v>6</v>
      </c>
      <c r="H18" s="11">
        <v>1</v>
      </c>
      <c r="I18" s="11">
        <v>2.1659999999999999E-2</v>
      </c>
      <c r="J18" s="11">
        <v>1</v>
      </c>
    </row>
    <row r="19" spans="1:10" x14ac:dyDescent="0.45">
      <c r="A19" s="11">
        <v>18</v>
      </c>
      <c r="B19" s="11" t="s">
        <v>938</v>
      </c>
      <c r="C19" s="11">
        <v>0.18</v>
      </c>
      <c r="D19" s="11">
        <v>0</v>
      </c>
      <c r="E19" s="11">
        <v>1</v>
      </c>
      <c r="F19" s="11">
        <v>-0.434</v>
      </c>
      <c r="G19" s="11">
        <v>6</v>
      </c>
      <c r="H19" s="11">
        <v>1</v>
      </c>
      <c r="I19" s="11">
        <v>0.21</v>
      </c>
      <c r="J19" s="11">
        <v>1</v>
      </c>
    </row>
    <row r="20" spans="1:10" x14ac:dyDescent="0.45">
      <c r="A20" s="11">
        <v>19</v>
      </c>
      <c r="B20" s="11" t="s">
        <v>939</v>
      </c>
      <c r="C20" s="11">
        <v>0.18</v>
      </c>
      <c r="D20" s="11">
        <v>0</v>
      </c>
      <c r="E20" s="11">
        <v>1</v>
      </c>
      <c r="F20" s="11">
        <v>-0.434</v>
      </c>
      <c r="G20" s="11">
        <v>6</v>
      </c>
      <c r="H20" s="11">
        <v>1</v>
      </c>
      <c r="I20" s="11">
        <v>0.21</v>
      </c>
      <c r="J20" s="11">
        <v>1</v>
      </c>
    </row>
    <row r="21" spans="1:10" x14ac:dyDescent="0.45">
      <c r="A21" s="11">
        <v>20</v>
      </c>
      <c r="B21" s="11" t="s">
        <v>940</v>
      </c>
      <c r="C21" s="11">
        <v>0.18</v>
      </c>
      <c r="D21" s="11">
        <v>0</v>
      </c>
      <c r="E21" s="11">
        <v>1</v>
      </c>
      <c r="F21" s="11">
        <v>-0.434</v>
      </c>
      <c r="G21" s="11">
        <v>6</v>
      </c>
      <c r="H21" s="11">
        <v>1</v>
      </c>
      <c r="I21" s="11">
        <v>3.526E-2</v>
      </c>
      <c r="J21" s="11">
        <v>1</v>
      </c>
    </row>
    <row r="22" spans="1:10" x14ac:dyDescent="0.45">
      <c r="A22" s="11">
        <v>21</v>
      </c>
      <c r="B22" s="11" t="s">
        <v>941</v>
      </c>
      <c r="C22" s="11">
        <v>0.18</v>
      </c>
      <c r="D22" s="11">
        <v>0</v>
      </c>
      <c r="E22" s="11">
        <v>1</v>
      </c>
      <c r="F22" s="11">
        <v>-0.434</v>
      </c>
      <c r="G22" s="11">
        <v>6</v>
      </c>
      <c r="H22" s="11">
        <v>0</v>
      </c>
      <c r="I22" s="11">
        <v>5.4099999999999999E-3</v>
      </c>
      <c r="J22" s="11">
        <v>1</v>
      </c>
    </row>
    <row r="23" spans="1:10" x14ac:dyDescent="0.45">
      <c r="A23" s="11">
        <v>22</v>
      </c>
      <c r="B23" s="11" t="s">
        <v>942</v>
      </c>
      <c r="C23" s="11">
        <v>0.18</v>
      </c>
      <c r="D23" s="11">
        <v>0</v>
      </c>
      <c r="E23" s="11">
        <v>0</v>
      </c>
      <c r="F23" s="11">
        <v>-0.434</v>
      </c>
      <c r="G23" s="11">
        <v>6</v>
      </c>
      <c r="H23" s="11">
        <v>0</v>
      </c>
      <c r="I23" s="11">
        <v>0</v>
      </c>
      <c r="J23" s="11">
        <v>1</v>
      </c>
    </row>
    <row r="24" spans="1:10" x14ac:dyDescent="0.45">
      <c r="A24" s="11">
        <v>23</v>
      </c>
      <c r="B24" s="11" t="s">
        <v>943</v>
      </c>
      <c r="C24" s="11">
        <v>0.18</v>
      </c>
      <c r="D24" s="11">
        <v>0</v>
      </c>
      <c r="E24" s="11">
        <v>1</v>
      </c>
      <c r="F24" s="11">
        <v>-0.434</v>
      </c>
      <c r="G24" s="11">
        <v>6</v>
      </c>
      <c r="H24" s="11">
        <v>0</v>
      </c>
      <c r="I24" s="11">
        <v>5.4099999999999999E-3</v>
      </c>
      <c r="J24" s="11">
        <v>1</v>
      </c>
    </row>
    <row r="25" spans="1:10" x14ac:dyDescent="0.45">
      <c r="A25" s="11">
        <v>24</v>
      </c>
      <c r="B25" s="11" t="s">
        <v>944</v>
      </c>
      <c r="C25" s="11">
        <v>0.18</v>
      </c>
      <c r="D25" s="11">
        <v>0</v>
      </c>
      <c r="E25" s="11">
        <v>1</v>
      </c>
      <c r="F25" s="11">
        <v>-0.434</v>
      </c>
      <c r="G25" s="11">
        <v>6</v>
      </c>
      <c r="H25" s="11">
        <v>0</v>
      </c>
      <c r="I25" s="11">
        <v>5.4099999999999999E-3</v>
      </c>
      <c r="J25" s="11">
        <v>1</v>
      </c>
    </row>
    <row r="26" spans="1:10" x14ac:dyDescent="0.45">
      <c r="A26" s="11">
        <v>25</v>
      </c>
      <c r="B26" s="11" t="s">
        <v>945</v>
      </c>
      <c r="C26" s="11">
        <v>0.18</v>
      </c>
      <c r="D26" s="11">
        <v>0</v>
      </c>
      <c r="E26" s="11">
        <v>1</v>
      </c>
      <c r="F26" s="11">
        <v>-0.434</v>
      </c>
      <c r="G26" s="11">
        <v>6</v>
      </c>
      <c r="H26" s="11">
        <v>0</v>
      </c>
      <c r="I26" s="11">
        <v>5.4099999999999999E-3</v>
      </c>
      <c r="J26" s="11">
        <v>1</v>
      </c>
    </row>
    <row r="27" spans="1:10" x14ac:dyDescent="0.45">
      <c r="A27" s="11">
        <v>26</v>
      </c>
      <c r="B27" s="11" t="s">
        <v>946</v>
      </c>
      <c r="C27" s="11">
        <v>0.18</v>
      </c>
      <c r="D27" s="11">
        <v>0</v>
      </c>
      <c r="E27" s="11">
        <v>1</v>
      </c>
      <c r="F27" s="11">
        <v>-0.434</v>
      </c>
      <c r="G27" s="11">
        <v>6</v>
      </c>
      <c r="H27" s="11">
        <v>0</v>
      </c>
      <c r="I27" s="11">
        <v>5.4099999999999999E-3</v>
      </c>
      <c r="J27" s="11">
        <v>1</v>
      </c>
    </row>
    <row r="28" spans="1:10" x14ac:dyDescent="0.45">
      <c r="A28" s="11">
        <v>27</v>
      </c>
      <c r="B28" s="11" t="s">
        <v>947</v>
      </c>
      <c r="C28" s="11">
        <v>0</v>
      </c>
      <c r="D28" s="11">
        <v>1</v>
      </c>
      <c r="E28" s="11">
        <v>1</v>
      </c>
      <c r="F28" s="11">
        <v>-0.63600000000000001</v>
      </c>
      <c r="G28" s="11">
        <v>2</v>
      </c>
      <c r="H28" s="11">
        <v>0</v>
      </c>
      <c r="I28" s="11">
        <v>3.2629999999999999E-2</v>
      </c>
      <c r="J28" s="11">
        <v>1</v>
      </c>
    </row>
    <row r="29" spans="1:10" x14ac:dyDescent="0.45">
      <c r="A29" s="11">
        <v>29</v>
      </c>
      <c r="B29" s="11" t="s">
        <v>948</v>
      </c>
      <c r="C29" s="11">
        <v>0</v>
      </c>
      <c r="D29" s="11">
        <v>1</v>
      </c>
      <c r="E29" s="11">
        <v>1</v>
      </c>
      <c r="F29" s="11">
        <v>-0.63600000000000001</v>
      </c>
      <c r="G29" s="11">
        <v>2</v>
      </c>
      <c r="H29" s="11">
        <v>0</v>
      </c>
      <c r="I29" s="11">
        <v>2.265E-2</v>
      </c>
      <c r="J29" s="11">
        <v>1</v>
      </c>
    </row>
    <row r="30" spans="1:10" x14ac:dyDescent="0.45">
      <c r="A30" s="11">
        <v>30</v>
      </c>
      <c r="B30" s="11" t="s">
        <v>949</v>
      </c>
      <c r="C30" s="11">
        <v>0</v>
      </c>
      <c r="D30" s="11">
        <v>1</v>
      </c>
      <c r="E30" s="11">
        <v>1</v>
      </c>
      <c r="F30" s="11">
        <v>-0.63600000000000001</v>
      </c>
      <c r="G30" s="11">
        <v>2</v>
      </c>
      <c r="H30" s="11">
        <v>0</v>
      </c>
      <c r="I30" s="73">
        <v>1.1E-5</v>
      </c>
      <c r="J30" s="11">
        <v>1</v>
      </c>
    </row>
    <row r="31" spans="1:10" x14ac:dyDescent="0.45">
      <c r="A31" s="11">
        <v>31</v>
      </c>
      <c r="B31" s="11" t="s">
        <v>950</v>
      </c>
      <c r="C31" s="11">
        <v>0</v>
      </c>
      <c r="D31" s="11">
        <v>1</v>
      </c>
      <c r="E31" s="11">
        <v>1</v>
      </c>
      <c r="F31" s="11">
        <v>-0.63600000000000001</v>
      </c>
      <c r="G31" s="11">
        <v>2</v>
      </c>
      <c r="H31" s="11">
        <v>0</v>
      </c>
      <c r="I31" s="11">
        <v>0.30757000000000001</v>
      </c>
      <c r="J31" s="11">
        <v>1</v>
      </c>
    </row>
    <row r="32" spans="1:10" x14ac:dyDescent="0.45">
      <c r="A32" s="11">
        <v>32</v>
      </c>
      <c r="B32" s="11" t="s">
        <v>951</v>
      </c>
      <c r="C32" s="11">
        <v>0</v>
      </c>
      <c r="D32" s="11">
        <v>1</v>
      </c>
      <c r="E32" s="11">
        <v>1</v>
      </c>
      <c r="F32" s="11">
        <v>-0.63600000000000001</v>
      </c>
      <c r="G32" s="11">
        <v>2</v>
      </c>
      <c r="H32" s="11">
        <v>0</v>
      </c>
      <c r="I32" s="11">
        <v>7.0669999999999997E-2</v>
      </c>
      <c r="J32" s="11">
        <v>1</v>
      </c>
    </row>
    <row r="33" spans="1:10" x14ac:dyDescent="0.45">
      <c r="A33" s="11">
        <v>33</v>
      </c>
      <c r="B33" s="11" t="s">
        <v>952</v>
      </c>
      <c r="C33" s="11">
        <v>0</v>
      </c>
      <c r="D33" s="11">
        <v>1</v>
      </c>
      <c r="E33" s="11">
        <v>1</v>
      </c>
      <c r="F33" s="11">
        <v>-0.63600000000000001</v>
      </c>
      <c r="G33" s="11">
        <v>2</v>
      </c>
      <c r="H33" s="11">
        <v>0</v>
      </c>
      <c r="I33" s="11">
        <v>3.0699999999999998E-3</v>
      </c>
      <c r="J33" s="11">
        <v>1</v>
      </c>
    </row>
    <row r="34" spans="1:10" x14ac:dyDescent="0.45">
      <c r="A34" s="11">
        <v>34</v>
      </c>
      <c r="B34" s="11" t="s">
        <v>953</v>
      </c>
      <c r="C34" s="11">
        <v>0</v>
      </c>
      <c r="D34" s="11">
        <v>1</v>
      </c>
      <c r="E34" s="11">
        <v>1</v>
      </c>
      <c r="F34" s="11">
        <v>-0.63600000000000001</v>
      </c>
      <c r="G34" s="11">
        <v>2</v>
      </c>
      <c r="H34" s="11">
        <v>0</v>
      </c>
      <c r="I34" s="73">
        <v>9.2E-6</v>
      </c>
      <c r="J34" s="11">
        <v>1</v>
      </c>
    </row>
    <row r="35" spans="1:10" x14ac:dyDescent="0.45">
      <c r="A35" s="11">
        <v>35</v>
      </c>
      <c r="B35" s="11" t="s">
        <v>954</v>
      </c>
      <c r="C35" s="11">
        <v>0</v>
      </c>
      <c r="D35" s="11">
        <v>1</v>
      </c>
      <c r="E35" s="11">
        <v>1</v>
      </c>
      <c r="F35" s="11">
        <v>-0.63600000000000001</v>
      </c>
      <c r="G35" s="11">
        <v>2</v>
      </c>
      <c r="H35" s="11">
        <v>0</v>
      </c>
      <c r="I35" s="73">
        <v>9.2E-6</v>
      </c>
      <c r="J35" s="11">
        <v>1</v>
      </c>
    </row>
    <row r="36" spans="1:10" x14ac:dyDescent="0.45">
      <c r="A36" s="11">
        <v>36</v>
      </c>
      <c r="B36" s="11" t="s">
        <v>955</v>
      </c>
      <c r="C36" s="11">
        <v>0.18</v>
      </c>
      <c r="D36" s="11">
        <v>0</v>
      </c>
      <c r="E36" s="11">
        <v>1</v>
      </c>
      <c r="F36" s="11">
        <v>-0.63600000000000001</v>
      </c>
      <c r="G36" s="11">
        <v>2</v>
      </c>
      <c r="H36" s="11">
        <v>1</v>
      </c>
      <c r="I36" s="11">
        <v>0.23829</v>
      </c>
      <c r="J36" s="11">
        <v>0.5</v>
      </c>
    </row>
    <row r="37" spans="1:10" x14ac:dyDescent="0.45">
      <c r="A37" s="11">
        <v>36</v>
      </c>
      <c r="B37" s="11" t="s">
        <v>955</v>
      </c>
      <c r="C37" s="11">
        <v>0.18</v>
      </c>
      <c r="D37" s="11">
        <v>0</v>
      </c>
      <c r="E37" s="11">
        <v>1</v>
      </c>
      <c r="F37" s="11">
        <v>-0.63600000000000001</v>
      </c>
      <c r="G37" s="11">
        <v>6</v>
      </c>
      <c r="H37" s="11">
        <v>1</v>
      </c>
      <c r="I37" s="11">
        <v>0.23829</v>
      </c>
      <c r="J37" s="11">
        <v>0.5</v>
      </c>
    </row>
    <row r="38" spans="1:10" x14ac:dyDescent="0.45">
      <c r="A38" s="11">
        <v>37</v>
      </c>
      <c r="B38" s="11" t="s">
        <v>956</v>
      </c>
      <c r="C38" s="11">
        <v>0.18</v>
      </c>
      <c r="D38" s="11">
        <v>0</v>
      </c>
      <c r="E38" s="11">
        <v>1</v>
      </c>
      <c r="F38" s="11">
        <v>-0.63600000000000001</v>
      </c>
      <c r="G38" s="11">
        <v>2</v>
      </c>
      <c r="H38" s="11">
        <v>1</v>
      </c>
      <c r="I38" s="11">
        <v>0.36</v>
      </c>
      <c r="J38" s="11">
        <v>0.5</v>
      </c>
    </row>
    <row r="39" spans="1:10" x14ac:dyDescent="0.45">
      <c r="A39" s="11">
        <v>37</v>
      </c>
      <c r="B39" s="11" t="s">
        <v>956</v>
      </c>
      <c r="C39" s="11">
        <v>0.18</v>
      </c>
      <c r="D39" s="11">
        <v>0</v>
      </c>
      <c r="E39" s="11">
        <v>1</v>
      </c>
      <c r="F39" s="11">
        <v>-0.63600000000000001</v>
      </c>
      <c r="G39" s="11">
        <v>6</v>
      </c>
      <c r="H39" s="11">
        <v>1</v>
      </c>
      <c r="I39" s="11">
        <v>0.36</v>
      </c>
      <c r="J39" s="11">
        <v>0.5</v>
      </c>
    </row>
    <row r="40" spans="1:10" x14ac:dyDescent="0.45">
      <c r="A40" s="11">
        <v>38</v>
      </c>
      <c r="B40" s="11" t="s">
        <v>957</v>
      </c>
      <c r="C40" s="11">
        <v>0</v>
      </c>
      <c r="D40" s="11">
        <v>1</v>
      </c>
      <c r="E40" s="11">
        <v>1</v>
      </c>
      <c r="F40" s="11">
        <v>-0.63600000000000001</v>
      </c>
      <c r="G40" s="11">
        <v>2</v>
      </c>
      <c r="H40" s="11">
        <v>0</v>
      </c>
      <c r="I40" s="11">
        <v>0.30757000000000001</v>
      </c>
      <c r="J40" s="11">
        <v>1</v>
      </c>
    </row>
    <row r="41" spans="1:10" x14ac:dyDescent="0.45">
      <c r="A41" s="11">
        <v>39</v>
      </c>
      <c r="B41" s="11" t="s">
        <v>958</v>
      </c>
      <c r="C41" s="11">
        <v>0</v>
      </c>
      <c r="D41" s="11">
        <v>1</v>
      </c>
      <c r="E41" s="11">
        <v>1</v>
      </c>
      <c r="F41" s="11">
        <v>-0.63600000000000001</v>
      </c>
      <c r="G41" s="11">
        <v>2</v>
      </c>
      <c r="H41" s="11">
        <v>0</v>
      </c>
      <c r="I41" s="73">
        <v>1.1E-5</v>
      </c>
      <c r="J41" s="11">
        <v>1</v>
      </c>
    </row>
    <row r="42" spans="1:10" x14ac:dyDescent="0.45">
      <c r="A42" s="11">
        <v>40</v>
      </c>
      <c r="B42" s="11" t="s">
        <v>959</v>
      </c>
      <c r="C42" s="11">
        <v>0</v>
      </c>
      <c r="D42" s="11">
        <v>1</v>
      </c>
      <c r="E42" s="11">
        <v>1</v>
      </c>
      <c r="F42" s="11">
        <v>-0.73899999999999999</v>
      </c>
      <c r="G42" s="11">
        <v>4</v>
      </c>
      <c r="H42" s="11">
        <v>0</v>
      </c>
      <c r="I42" s="11">
        <v>1.359E-2</v>
      </c>
      <c r="J42" s="11">
        <v>1</v>
      </c>
    </row>
    <row r="43" spans="1:10" x14ac:dyDescent="0.45">
      <c r="A43" s="11">
        <v>41</v>
      </c>
      <c r="B43" s="11" t="s">
        <v>960</v>
      </c>
      <c r="C43" s="11">
        <v>0</v>
      </c>
      <c r="D43" s="11">
        <v>1</v>
      </c>
      <c r="E43" s="11">
        <v>1</v>
      </c>
      <c r="F43" s="11">
        <v>-0.73899999999999999</v>
      </c>
      <c r="G43" s="11">
        <v>4</v>
      </c>
      <c r="H43" s="11">
        <v>0</v>
      </c>
      <c r="I43" s="11">
        <v>1.359E-2</v>
      </c>
      <c r="J43" s="11">
        <v>1</v>
      </c>
    </row>
    <row r="44" spans="1:10" x14ac:dyDescent="0.45">
      <c r="A44" s="11">
        <v>42</v>
      </c>
      <c r="B44" s="11" t="s">
        <v>961</v>
      </c>
      <c r="C44" s="11">
        <v>0</v>
      </c>
      <c r="D44" s="11">
        <v>1</v>
      </c>
      <c r="E44" s="11">
        <v>1</v>
      </c>
      <c r="F44" s="11">
        <v>-0.73899999999999999</v>
      </c>
      <c r="G44" s="11">
        <v>4</v>
      </c>
      <c r="H44" s="11">
        <v>0</v>
      </c>
      <c r="I44" s="11">
        <v>1.359E-2</v>
      </c>
      <c r="J44" s="11">
        <v>1</v>
      </c>
    </row>
    <row r="45" spans="1:10" x14ac:dyDescent="0.45">
      <c r="A45" s="11">
        <v>43</v>
      </c>
      <c r="B45" s="11" t="s">
        <v>962</v>
      </c>
      <c r="C45" s="11">
        <v>0</v>
      </c>
      <c r="D45" s="11">
        <v>1</v>
      </c>
      <c r="E45" s="11">
        <v>1</v>
      </c>
      <c r="F45" s="11">
        <v>-0.73899999999999999</v>
      </c>
      <c r="G45" s="11">
        <v>4</v>
      </c>
      <c r="H45" s="11">
        <v>0</v>
      </c>
      <c r="I45" s="11">
        <v>1.359E-2</v>
      </c>
      <c r="J45" s="11">
        <v>1</v>
      </c>
    </row>
    <row r="46" spans="1:10" x14ac:dyDescent="0.45">
      <c r="A46" s="11">
        <v>44</v>
      </c>
      <c r="B46" s="11" t="s">
        <v>963</v>
      </c>
      <c r="C46" s="11">
        <v>0</v>
      </c>
      <c r="D46" s="11">
        <v>1</v>
      </c>
      <c r="E46" s="11">
        <v>1</v>
      </c>
      <c r="F46" s="11">
        <v>-0.73899999999999999</v>
      </c>
      <c r="G46" s="11">
        <v>4</v>
      </c>
      <c r="H46" s="11">
        <v>1</v>
      </c>
      <c r="I46" s="11">
        <v>4.5100000000000001E-3</v>
      </c>
      <c r="J46" s="11">
        <v>0.5</v>
      </c>
    </row>
    <row r="47" spans="1:10" x14ac:dyDescent="0.45">
      <c r="A47" s="11">
        <v>44</v>
      </c>
      <c r="B47" s="11" t="s">
        <v>963</v>
      </c>
      <c r="C47" s="11">
        <v>0</v>
      </c>
      <c r="D47" s="11">
        <v>1</v>
      </c>
      <c r="E47" s="11">
        <v>1</v>
      </c>
      <c r="F47" s="11">
        <v>-0.73899999999999999</v>
      </c>
      <c r="G47" s="11">
        <v>6</v>
      </c>
      <c r="H47" s="11">
        <v>1</v>
      </c>
      <c r="I47" s="11">
        <v>4.5100000000000001E-3</v>
      </c>
      <c r="J47" s="11">
        <v>0.5</v>
      </c>
    </row>
    <row r="48" spans="1:10" x14ac:dyDescent="0.45">
      <c r="A48" s="11">
        <v>45</v>
      </c>
      <c r="B48" s="11" t="s">
        <v>964</v>
      </c>
      <c r="C48" s="11">
        <v>0</v>
      </c>
      <c r="D48" s="11">
        <v>1</v>
      </c>
      <c r="E48" s="11">
        <v>1</v>
      </c>
      <c r="F48" s="11">
        <v>-0.73899999999999999</v>
      </c>
      <c r="G48" s="11">
        <v>4</v>
      </c>
      <c r="H48" s="11">
        <v>1</v>
      </c>
      <c r="I48" s="11">
        <v>4.5100000000000001E-3</v>
      </c>
      <c r="J48" s="11">
        <v>0.5</v>
      </c>
    </row>
    <row r="49" spans="1:10" x14ac:dyDescent="0.45">
      <c r="A49" s="11">
        <v>45</v>
      </c>
      <c r="B49" s="11" t="s">
        <v>964</v>
      </c>
      <c r="C49" s="11">
        <v>0</v>
      </c>
      <c r="D49" s="11">
        <v>1</v>
      </c>
      <c r="E49" s="11">
        <v>1</v>
      </c>
      <c r="F49" s="11">
        <v>-0.73899999999999999</v>
      </c>
      <c r="G49" s="11">
        <v>6</v>
      </c>
      <c r="H49" s="11">
        <v>1</v>
      </c>
      <c r="I49" s="11">
        <v>4.5100000000000001E-3</v>
      </c>
      <c r="J49" s="11">
        <v>0.5</v>
      </c>
    </row>
    <row r="50" spans="1:10" x14ac:dyDescent="0.45">
      <c r="A50" s="11">
        <v>46</v>
      </c>
      <c r="B50" s="11" t="s">
        <v>965</v>
      </c>
      <c r="C50" s="11">
        <v>0</v>
      </c>
      <c r="D50" s="11">
        <v>1</v>
      </c>
      <c r="E50" s="11">
        <v>1</v>
      </c>
      <c r="F50" s="11">
        <v>-0.73899999999999999</v>
      </c>
      <c r="G50" s="11">
        <v>4</v>
      </c>
      <c r="H50" s="11">
        <v>1</v>
      </c>
      <c r="I50" s="11">
        <v>4.5100000000000001E-3</v>
      </c>
      <c r="J50" s="11">
        <v>0.5</v>
      </c>
    </row>
    <row r="51" spans="1:10" x14ac:dyDescent="0.45">
      <c r="A51" s="11">
        <v>46</v>
      </c>
      <c r="B51" s="11" t="s">
        <v>965</v>
      </c>
      <c r="C51" s="11">
        <v>0</v>
      </c>
      <c r="D51" s="11">
        <v>1</v>
      </c>
      <c r="E51" s="11">
        <v>1</v>
      </c>
      <c r="F51" s="11">
        <v>-0.73899999999999999</v>
      </c>
      <c r="G51" s="11">
        <v>6</v>
      </c>
      <c r="H51" s="11">
        <v>1</v>
      </c>
      <c r="I51" s="11">
        <v>4.5100000000000001E-3</v>
      </c>
      <c r="J51" s="11">
        <v>0.5</v>
      </c>
    </row>
    <row r="52" spans="1:10" x14ac:dyDescent="0.45">
      <c r="A52" s="11">
        <v>47</v>
      </c>
      <c r="B52" s="11" t="s">
        <v>966</v>
      </c>
      <c r="C52" s="11">
        <v>0.18</v>
      </c>
      <c r="D52" s="11">
        <v>0</v>
      </c>
      <c r="E52" s="11">
        <v>1</v>
      </c>
      <c r="F52" s="11">
        <v>-0.73899999999999999</v>
      </c>
      <c r="G52" s="11">
        <v>4</v>
      </c>
      <c r="H52" s="11">
        <v>0</v>
      </c>
      <c r="I52" s="11">
        <v>1.2670000000000001E-2</v>
      </c>
      <c r="J52" s="11">
        <v>1</v>
      </c>
    </row>
    <row r="53" spans="1:10" x14ac:dyDescent="0.45">
      <c r="A53" s="11">
        <v>48</v>
      </c>
      <c r="B53" s="11" t="s">
        <v>967</v>
      </c>
      <c r="C53" s="11">
        <v>0.18</v>
      </c>
      <c r="D53" s="11">
        <v>0</v>
      </c>
      <c r="E53" s="11">
        <v>1</v>
      </c>
      <c r="F53" s="11">
        <v>-0.73899999999999999</v>
      </c>
      <c r="G53" s="11">
        <v>4</v>
      </c>
      <c r="H53" s="11">
        <v>0</v>
      </c>
      <c r="I53" s="11">
        <v>1.2670000000000001E-2</v>
      </c>
      <c r="J53" s="11">
        <v>1</v>
      </c>
    </row>
    <row r="54" spans="1:10" x14ac:dyDescent="0.45">
      <c r="A54" s="11">
        <v>49</v>
      </c>
      <c r="B54" s="11" t="s">
        <v>968</v>
      </c>
      <c r="C54" s="11">
        <v>0.18</v>
      </c>
      <c r="D54" s="11">
        <v>0</v>
      </c>
      <c r="E54" s="11">
        <v>1</v>
      </c>
      <c r="F54" s="11">
        <v>-0.73899999999999999</v>
      </c>
      <c r="G54" s="11">
        <v>4</v>
      </c>
      <c r="H54" s="11">
        <v>0</v>
      </c>
      <c r="I54" s="11">
        <v>1.2670000000000001E-2</v>
      </c>
      <c r="J54" s="11">
        <v>0.5</v>
      </c>
    </row>
    <row r="55" spans="1:10" x14ac:dyDescent="0.45">
      <c r="A55" s="11">
        <v>49</v>
      </c>
      <c r="B55" s="11" t="s">
        <v>968</v>
      </c>
      <c r="C55" s="11">
        <v>0.18</v>
      </c>
      <c r="D55" s="11">
        <v>0</v>
      </c>
      <c r="E55" s="11">
        <v>1</v>
      </c>
      <c r="F55" s="11">
        <v>-0.73899999999999999</v>
      </c>
      <c r="G55" s="11">
        <v>6</v>
      </c>
      <c r="H55" s="11">
        <v>0</v>
      </c>
      <c r="I55" s="11">
        <v>1.2670000000000001E-2</v>
      </c>
      <c r="J55" s="11">
        <v>0.5</v>
      </c>
    </row>
    <row r="56" spans="1:10" x14ac:dyDescent="0.45">
      <c r="A56" s="11">
        <v>50</v>
      </c>
      <c r="B56" s="11" t="s">
        <v>969</v>
      </c>
      <c r="C56" s="11">
        <v>0.18</v>
      </c>
      <c r="D56" s="11">
        <v>0</v>
      </c>
      <c r="E56" s="11">
        <v>1</v>
      </c>
      <c r="F56" s="11">
        <v>-0.73899999999999999</v>
      </c>
      <c r="G56" s="11">
        <v>4</v>
      </c>
      <c r="H56" s="11">
        <v>0</v>
      </c>
      <c r="I56" s="11">
        <v>0.20935999999999999</v>
      </c>
      <c r="J56" s="11">
        <v>1</v>
      </c>
    </row>
    <row r="57" spans="1:10" x14ac:dyDescent="0.45">
      <c r="A57" s="11">
        <v>51</v>
      </c>
      <c r="B57" s="11" t="s">
        <v>970</v>
      </c>
      <c r="C57" s="11">
        <v>0.18</v>
      </c>
      <c r="D57" s="11">
        <v>0</v>
      </c>
      <c r="E57" s="11">
        <v>1</v>
      </c>
      <c r="F57" s="11">
        <v>-0.73899999999999999</v>
      </c>
      <c r="G57" s="11">
        <v>4</v>
      </c>
      <c r="H57" s="11">
        <v>1</v>
      </c>
      <c r="I57" s="11">
        <v>4.5100000000000001E-3</v>
      </c>
      <c r="J57" s="11">
        <v>0.5</v>
      </c>
    </row>
    <row r="58" spans="1:10" x14ac:dyDescent="0.45">
      <c r="A58" s="11">
        <v>51</v>
      </c>
      <c r="B58" s="11" t="s">
        <v>970</v>
      </c>
      <c r="C58" s="11">
        <v>0.18</v>
      </c>
      <c r="D58" s="11">
        <v>0</v>
      </c>
      <c r="E58" s="11">
        <v>1</v>
      </c>
      <c r="F58" s="11">
        <v>-0.73899999999999999</v>
      </c>
      <c r="G58" s="11">
        <v>6</v>
      </c>
      <c r="H58" s="11">
        <v>1</v>
      </c>
      <c r="I58" s="11">
        <v>4.5100000000000001E-3</v>
      </c>
      <c r="J58" s="11">
        <v>0.5</v>
      </c>
    </row>
    <row r="59" spans="1:10" x14ac:dyDescent="0.45">
      <c r="A59" s="11">
        <v>52</v>
      </c>
      <c r="B59" s="11" t="s">
        <v>971</v>
      </c>
      <c r="C59" s="11">
        <v>0</v>
      </c>
      <c r="D59" s="11">
        <v>1</v>
      </c>
      <c r="E59" s="11">
        <v>1</v>
      </c>
      <c r="F59" s="11">
        <v>-0.70099999999999996</v>
      </c>
      <c r="G59" s="11">
        <v>6</v>
      </c>
      <c r="H59" s="11">
        <v>1</v>
      </c>
      <c r="I59" s="11">
        <v>8.2189999999999999E-2</v>
      </c>
      <c r="J59" s="11">
        <v>1</v>
      </c>
    </row>
    <row r="60" spans="1:10" x14ac:dyDescent="0.45">
      <c r="A60" s="11">
        <v>53</v>
      </c>
      <c r="B60" s="11" t="s">
        <v>972</v>
      </c>
      <c r="C60" s="11">
        <v>0.18</v>
      </c>
      <c r="D60" s="11">
        <v>0</v>
      </c>
      <c r="E60" s="11">
        <v>1</v>
      </c>
      <c r="F60" s="11">
        <v>-0.70099999999999996</v>
      </c>
      <c r="G60" s="11">
        <v>6</v>
      </c>
      <c r="H60" s="11">
        <v>1</v>
      </c>
      <c r="I60" s="11">
        <v>2.5300000000000001E-3</v>
      </c>
      <c r="J60" s="11">
        <v>1</v>
      </c>
    </row>
    <row r="61" spans="1:10" x14ac:dyDescent="0.45">
      <c r="A61" s="11">
        <v>54</v>
      </c>
      <c r="B61" s="11" t="s">
        <v>973</v>
      </c>
      <c r="C61" s="11">
        <v>0.18</v>
      </c>
      <c r="D61" s="11">
        <v>0</v>
      </c>
      <c r="E61" s="11">
        <v>1</v>
      </c>
      <c r="F61" s="11">
        <v>-0.70099999999999996</v>
      </c>
      <c r="G61" s="11">
        <v>6</v>
      </c>
      <c r="H61" s="11">
        <v>1</v>
      </c>
      <c r="I61" s="11">
        <v>4.3279999999999999E-2</v>
      </c>
      <c r="J61" s="11">
        <v>1</v>
      </c>
    </row>
    <row r="62" spans="1:10" x14ac:dyDescent="0.45">
      <c r="A62" s="11">
        <v>55</v>
      </c>
      <c r="B62" s="11" t="s">
        <v>974</v>
      </c>
      <c r="C62" s="11">
        <v>0.18</v>
      </c>
      <c r="D62" s="11">
        <v>0</v>
      </c>
      <c r="E62" s="11">
        <v>1</v>
      </c>
      <c r="F62" s="11">
        <v>-0.70099999999999996</v>
      </c>
      <c r="G62" s="11">
        <v>6</v>
      </c>
      <c r="H62" s="11">
        <v>1</v>
      </c>
      <c r="I62" s="11">
        <v>4.3279999999999999E-2</v>
      </c>
      <c r="J62" s="11">
        <v>1</v>
      </c>
    </row>
    <row r="63" spans="1:10" x14ac:dyDescent="0.45">
      <c r="A63" s="11">
        <v>56</v>
      </c>
      <c r="B63" s="11" t="s">
        <v>975</v>
      </c>
      <c r="C63" s="11">
        <v>0.18</v>
      </c>
      <c r="D63" s="11">
        <v>0</v>
      </c>
      <c r="E63" s="11">
        <v>1</v>
      </c>
      <c r="F63" s="11">
        <v>-0.70099999999999996</v>
      </c>
      <c r="G63" s="11">
        <v>6</v>
      </c>
      <c r="H63" s="11">
        <v>1</v>
      </c>
      <c r="I63" s="11">
        <v>4.3279999999999999E-2</v>
      </c>
      <c r="J63" s="11">
        <v>1</v>
      </c>
    </row>
    <row r="64" spans="1:10" x14ac:dyDescent="0.45">
      <c r="A64" s="11">
        <v>57</v>
      </c>
      <c r="B64" s="11" t="s">
        <v>976</v>
      </c>
      <c r="C64" s="11">
        <v>0.18</v>
      </c>
      <c r="D64" s="11">
        <v>0</v>
      </c>
      <c r="E64" s="11">
        <v>1</v>
      </c>
      <c r="F64" s="11">
        <v>-0.70099999999999996</v>
      </c>
      <c r="G64" s="11">
        <v>6</v>
      </c>
      <c r="H64" s="11">
        <v>1</v>
      </c>
      <c r="I64" s="11">
        <v>0.19907</v>
      </c>
      <c r="J64" s="11">
        <v>1</v>
      </c>
    </row>
    <row r="65" spans="1:10" x14ac:dyDescent="0.45">
      <c r="A65" s="11">
        <v>58</v>
      </c>
      <c r="B65" s="11" t="s">
        <v>977</v>
      </c>
      <c r="C65" s="11">
        <v>0.18</v>
      </c>
      <c r="D65" s="11">
        <v>0</v>
      </c>
      <c r="E65" s="11">
        <v>1</v>
      </c>
      <c r="F65" s="11">
        <v>-0.70099999999999996</v>
      </c>
      <c r="G65" s="11">
        <v>6</v>
      </c>
      <c r="H65" s="11">
        <v>1</v>
      </c>
      <c r="I65" s="11">
        <v>0.1082</v>
      </c>
      <c r="J65" s="11">
        <v>1</v>
      </c>
    </row>
    <row r="66" spans="1:10" x14ac:dyDescent="0.45">
      <c r="A66" s="11">
        <v>59</v>
      </c>
      <c r="B66" s="11" t="s">
        <v>978</v>
      </c>
      <c r="C66" s="11">
        <v>0.18</v>
      </c>
      <c r="D66" s="11">
        <v>0</v>
      </c>
      <c r="E66" s="11">
        <v>1</v>
      </c>
      <c r="F66" s="11">
        <v>-0.70099999999999996</v>
      </c>
      <c r="G66" s="11">
        <v>6</v>
      </c>
      <c r="H66" s="11">
        <v>1</v>
      </c>
      <c r="I66" s="11">
        <v>0.21</v>
      </c>
      <c r="J66" s="11">
        <v>1</v>
      </c>
    </row>
    <row r="67" spans="1:10" x14ac:dyDescent="0.45">
      <c r="A67" s="11">
        <v>60</v>
      </c>
      <c r="B67" s="11" t="s">
        <v>979</v>
      </c>
      <c r="C67" s="11">
        <v>0</v>
      </c>
      <c r="D67" s="11">
        <v>1</v>
      </c>
      <c r="E67" s="11">
        <v>1</v>
      </c>
      <c r="F67" s="11">
        <v>-0.70099999999999996</v>
      </c>
      <c r="G67" s="11">
        <v>2</v>
      </c>
      <c r="H67" s="11">
        <v>1</v>
      </c>
      <c r="I67" s="11">
        <v>0.36</v>
      </c>
      <c r="J67" s="11">
        <v>1</v>
      </c>
    </row>
    <row r="68" spans="1:10" x14ac:dyDescent="0.45">
      <c r="A68" s="11">
        <v>61</v>
      </c>
      <c r="B68" s="11" t="s">
        <v>548</v>
      </c>
      <c r="C68" s="11">
        <v>0.18</v>
      </c>
      <c r="D68" s="11">
        <v>0</v>
      </c>
      <c r="E68" s="11">
        <v>1</v>
      </c>
      <c r="F68" s="11">
        <v>-0.44800000000000001</v>
      </c>
      <c r="G68" s="11">
        <v>6</v>
      </c>
      <c r="H68" s="11">
        <v>0</v>
      </c>
      <c r="I68" s="11">
        <v>4.1279999999999997E-2</v>
      </c>
      <c r="J68" s="11">
        <v>1</v>
      </c>
    </row>
    <row r="69" spans="1:10" x14ac:dyDescent="0.45">
      <c r="A69" s="11">
        <v>62</v>
      </c>
      <c r="B69" s="11" t="s">
        <v>980</v>
      </c>
      <c r="C69" s="11">
        <v>0.18</v>
      </c>
      <c r="D69" s="11">
        <v>0</v>
      </c>
      <c r="E69" s="11">
        <v>0</v>
      </c>
      <c r="F69" s="11">
        <v>-0.44800000000000001</v>
      </c>
      <c r="G69" s="11">
        <v>6</v>
      </c>
      <c r="H69" s="11">
        <v>1</v>
      </c>
      <c r="I69" s="11">
        <v>0</v>
      </c>
      <c r="J69" s="11">
        <v>1</v>
      </c>
    </row>
    <row r="70" spans="1:10" x14ac:dyDescent="0.45">
      <c r="A70" s="11">
        <v>63</v>
      </c>
      <c r="B70" s="11" t="s">
        <v>981</v>
      </c>
      <c r="C70" s="11">
        <v>0.18</v>
      </c>
      <c r="D70" s="11">
        <v>0</v>
      </c>
      <c r="E70" s="11">
        <v>0</v>
      </c>
      <c r="F70" s="11">
        <v>-0.44800000000000001</v>
      </c>
      <c r="G70" s="11">
        <v>6</v>
      </c>
      <c r="H70" s="11">
        <v>1</v>
      </c>
      <c r="I70" s="11">
        <v>0</v>
      </c>
      <c r="J70" s="11">
        <v>1</v>
      </c>
    </row>
    <row r="71" spans="1:10" x14ac:dyDescent="0.45">
      <c r="A71" s="11">
        <v>64</v>
      </c>
      <c r="B71" s="11" t="s">
        <v>982</v>
      </c>
      <c r="C71" s="11">
        <v>0.18</v>
      </c>
      <c r="D71" s="11">
        <v>0</v>
      </c>
      <c r="E71" s="11">
        <v>0</v>
      </c>
      <c r="F71" s="11">
        <v>-0.44800000000000001</v>
      </c>
      <c r="G71" s="11">
        <v>6</v>
      </c>
      <c r="H71" s="11">
        <v>1</v>
      </c>
      <c r="I71" s="11">
        <v>0</v>
      </c>
      <c r="J71" s="11">
        <v>1</v>
      </c>
    </row>
    <row r="72" spans="1:10" x14ac:dyDescent="0.45">
      <c r="A72" s="11">
        <v>65</v>
      </c>
      <c r="B72" s="11" t="s">
        <v>983</v>
      </c>
      <c r="C72" s="11">
        <v>0.18</v>
      </c>
      <c r="D72" s="11">
        <v>0</v>
      </c>
      <c r="E72" s="11">
        <v>0</v>
      </c>
      <c r="F72" s="11">
        <v>-0.44800000000000001</v>
      </c>
      <c r="G72" s="11">
        <v>6</v>
      </c>
      <c r="H72" s="11">
        <v>1</v>
      </c>
      <c r="I72" s="11">
        <v>0</v>
      </c>
      <c r="J72" s="11">
        <v>1</v>
      </c>
    </row>
    <row r="73" spans="1:10" x14ac:dyDescent="0.45">
      <c r="A73" s="11">
        <v>66</v>
      </c>
      <c r="B73" s="11" t="s">
        <v>984</v>
      </c>
      <c r="C73" s="11">
        <v>0.18</v>
      </c>
      <c r="D73" s="11">
        <v>0</v>
      </c>
      <c r="E73" s="11">
        <v>0</v>
      </c>
      <c r="F73" s="11">
        <v>-0.44800000000000001</v>
      </c>
      <c r="G73" s="11">
        <v>6</v>
      </c>
      <c r="H73" s="11">
        <v>1</v>
      </c>
      <c r="I73" s="11">
        <v>0</v>
      </c>
      <c r="J73" s="11">
        <v>1</v>
      </c>
    </row>
    <row r="74" spans="1:10" x14ac:dyDescent="0.45">
      <c r="A74" s="11">
        <v>67</v>
      </c>
      <c r="B74" s="11" t="s">
        <v>985</v>
      </c>
      <c r="C74" s="11">
        <v>0.18</v>
      </c>
      <c r="D74" s="11">
        <v>0</v>
      </c>
      <c r="E74" s="11">
        <v>0</v>
      </c>
      <c r="F74" s="11">
        <v>-0.44800000000000001</v>
      </c>
      <c r="G74" s="11">
        <v>6</v>
      </c>
      <c r="H74" s="11">
        <v>1</v>
      </c>
      <c r="I74" s="11">
        <v>0</v>
      </c>
      <c r="J74" s="11">
        <v>1</v>
      </c>
    </row>
    <row r="75" spans="1:10" x14ac:dyDescent="0.45">
      <c r="A75" s="11">
        <v>68</v>
      </c>
      <c r="B75" s="11" t="s">
        <v>986</v>
      </c>
      <c r="C75" s="11">
        <v>0.18</v>
      </c>
      <c r="D75" s="11">
        <v>0</v>
      </c>
      <c r="E75" s="11">
        <v>0</v>
      </c>
      <c r="F75" s="11">
        <v>-0.44800000000000001</v>
      </c>
      <c r="G75" s="11">
        <v>6</v>
      </c>
      <c r="H75" s="11">
        <v>1</v>
      </c>
      <c r="I75" s="11">
        <v>0</v>
      </c>
      <c r="J75" s="11">
        <v>1</v>
      </c>
    </row>
    <row r="76" spans="1:10" x14ac:dyDescent="0.45">
      <c r="A76" s="11">
        <v>69</v>
      </c>
      <c r="B76" s="11" t="s">
        <v>987</v>
      </c>
      <c r="C76" s="11">
        <v>0</v>
      </c>
      <c r="D76" s="11">
        <v>1</v>
      </c>
      <c r="E76" s="11">
        <v>0</v>
      </c>
      <c r="F76" s="11">
        <v>-0.44800000000000001</v>
      </c>
      <c r="G76" s="11">
        <v>1</v>
      </c>
      <c r="H76" s="11">
        <v>0</v>
      </c>
      <c r="I76" s="11">
        <v>0</v>
      </c>
      <c r="J76" s="11">
        <v>0.5</v>
      </c>
    </row>
    <row r="77" spans="1:10" x14ac:dyDescent="0.45">
      <c r="A77" s="11">
        <v>69</v>
      </c>
      <c r="B77" s="11" t="s">
        <v>987</v>
      </c>
      <c r="C77" s="11">
        <v>0</v>
      </c>
      <c r="D77" s="11">
        <v>1</v>
      </c>
      <c r="E77" s="11">
        <v>0</v>
      </c>
      <c r="F77" s="11">
        <v>-0.44800000000000001</v>
      </c>
      <c r="G77" s="11">
        <v>6</v>
      </c>
      <c r="H77" s="11">
        <v>0</v>
      </c>
      <c r="I77" s="11">
        <v>0</v>
      </c>
      <c r="J77" s="11">
        <v>0.5</v>
      </c>
    </row>
    <row r="78" spans="1:10" x14ac:dyDescent="0.45">
      <c r="A78" s="11">
        <v>70</v>
      </c>
      <c r="B78" s="11" t="s">
        <v>988</v>
      </c>
      <c r="C78" s="11">
        <v>0.18</v>
      </c>
      <c r="D78" s="11">
        <v>0</v>
      </c>
      <c r="E78" s="11">
        <v>0</v>
      </c>
      <c r="F78" s="11">
        <v>-0.44800000000000001</v>
      </c>
      <c r="G78" s="11">
        <v>6</v>
      </c>
      <c r="H78" s="11">
        <v>1</v>
      </c>
      <c r="I78" s="11">
        <v>0</v>
      </c>
      <c r="J78" s="11">
        <v>1</v>
      </c>
    </row>
    <row r="79" spans="1:10" x14ac:dyDescent="0.45">
      <c r="A79" s="11">
        <v>71</v>
      </c>
      <c r="B79" s="11" t="s">
        <v>989</v>
      </c>
      <c r="C79" s="11">
        <v>0.18</v>
      </c>
      <c r="D79" s="11">
        <v>0</v>
      </c>
      <c r="E79" s="11">
        <v>0</v>
      </c>
      <c r="F79" s="11">
        <v>-0.51900000000000002</v>
      </c>
      <c r="G79" s="11">
        <v>1</v>
      </c>
      <c r="H79" s="11">
        <v>0</v>
      </c>
      <c r="I79" s="11">
        <v>0</v>
      </c>
      <c r="J79" s="11">
        <v>1</v>
      </c>
    </row>
    <row r="80" spans="1:10" x14ac:dyDescent="0.45">
      <c r="A80" s="11">
        <v>72</v>
      </c>
      <c r="B80" s="11" t="s">
        <v>990</v>
      </c>
      <c r="C80" s="11">
        <v>0.18</v>
      </c>
      <c r="D80" s="11">
        <v>0</v>
      </c>
      <c r="E80" s="11">
        <v>0</v>
      </c>
      <c r="F80" s="11">
        <v>-0.51900000000000002</v>
      </c>
      <c r="G80" s="11">
        <v>1</v>
      </c>
      <c r="H80" s="11">
        <v>0</v>
      </c>
      <c r="I80" s="11">
        <v>0</v>
      </c>
      <c r="J80" s="11">
        <v>1</v>
      </c>
    </row>
    <row r="81" spans="1:10" x14ac:dyDescent="0.45">
      <c r="A81" s="11">
        <v>73</v>
      </c>
      <c r="B81" s="11" t="s">
        <v>991</v>
      </c>
      <c r="C81" s="11">
        <v>0.18</v>
      </c>
      <c r="D81" s="11">
        <v>0</v>
      </c>
      <c r="E81" s="11">
        <v>0</v>
      </c>
      <c r="F81" s="11">
        <v>-0.51900000000000002</v>
      </c>
      <c r="G81" s="11">
        <v>1</v>
      </c>
      <c r="H81" s="11">
        <v>0</v>
      </c>
      <c r="I81" s="11">
        <v>0</v>
      </c>
      <c r="J81" s="11">
        <v>1</v>
      </c>
    </row>
    <row r="82" spans="1:10" x14ac:dyDescent="0.45">
      <c r="A82" s="11">
        <v>74</v>
      </c>
      <c r="B82" s="11" t="s">
        <v>992</v>
      </c>
      <c r="C82" s="11">
        <v>0.18</v>
      </c>
      <c r="D82" s="11">
        <v>0</v>
      </c>
      <c r="E82" s="11">
        <v>0</v>
      </c>
      <c r="F82" s="11">
        <v>-0.51900000000000002</v>
      </c>
      <c r="G82" s="11">
        <v>1</v>
      </c>
      <c r="H82" s="11">
        <v>0</v>
      </c>
      <c r="I82" s="11">
        <v>0</v>
      </c>
      <c r="J82" s="11">
        <v>1</v>
      </c>
    </row>
    <row r="83" spans="1:10" x14ac:dyDescent="0.45">
      <c r="A83" s="11">
        <v>75</v>
      </c>
      <c r="B83" s="11" t="s">
        <v>993</v>
      </c>
      <c r="C83" s="11">
        <v>0.18</v>
      </c>
      <c r="D83" s="11">
        <v>0</v>
      </c>
      <c r="E83" s="11">
        <v>0</v>
      </c>
      <c r="F83" s="11">
        <v>-0.51900000000000002</v>
      </c>
      <c r="G83" s="11">
        <v>1</v>
      </c>
      <c r="H83" s="11">
        <v>0</v>
      </c>
      <c r="I83" s="11">
        <v>0</v>
      </c>
      <c r="J83" s="11">
        <v>1</v>
      </c>
    </row>
    <row r="84" spans="1:10" x14ac:dyDescent="0.45">
      <c r="A84" s="11">
        <v>76</v>
      </c>
      <c r="B84" s="11" t="s">
        <v>994</v>
      </c>
      <c r="C84" s="11">
        <v>0.18</v>
      </c>
      <c r="D84" s="11">
        <v>0</v>
      </c>
      <c r="E84" s="11">
        <v>1</v>
      </c>
      <c r="F84" s="11">
        <v>-0.51900000000000002</v>
      </c>
      <c r="G84" s="11">
        <v>1</v>
      </c>
      <c r="H84" s="11">
        <v>0</v>
      </c>
      <c r="I84" s="11">
        <v>8.4600000000000005E-3</v>
      </c>
      <c r="J84" s="11">
        <v>1</v>
      </c>
    </row>
    <row r="85" spans="1:10" x14ac:dyDescent="0.45">
      <c r="A85" s="11">
        <v>77</v>
      </c>
      <c r="B85" s="11" t="s">
        <v>995</v>
      </c>
      <c r="C85" s="11">
        <v>0.18</v>
      </c>
      <c r="D85" s="11">
        <v>0</v>
      </c>
      <c r="E85" s="11">
        <v>0</v>
      </c>
      <c r="F85" s="11">
        <v>-0.51900000000000002</v>
      </c>
      <c r="G85" s="11">
        <v>1</v>
      </c>
      <c r="H85" s="11">
        <v>0</v>
      </c>
      <c r="I85" s="11">
        <v>0</v>
      </c>
      <c r="J85" s="11">
        <v>1</v>
      </c>
    </row>
    <row r="86" spans="1:10" x14ac:dyDescent="0.45">
      <c r="A86" s="11">
        <v>78</v>
      </c>
      <c r="B86" s="11" t="s">
        <v>996</v>
      </c>
      <c r="C86" s="11">
        <v>0.18</v>
      </c>
      <c r="D86" s="11">
        <v>0</v>
      </c>
      <c r="E86" s="11">
        <v>0</v>
      </c>
      <c r="F86" s="11">
        <v>-0.51900000000000002</v>
      </c>
      <c r="G86" s="11">
        <v>1</v>
      </c>
      <c r="H86" s="11">
        <v>0</v>
      </c>
      <c r="I86" s="11">
        <v>0</v>
      </c>
      <c r="J86" s="11">
        <v>1</v>
      </c>
    </row>
    <row r="87" spans="1:10" x14ac:dyDescent="0.45">
      <c r="A87" s="11">
        <v>79</v>
      </c>
      <c r="B87" s="11" t="s">
        <v>997</v>
      </c>
      <c r="C87" s="11">
        <v>0.18</v>
      </c>
      <c r="D87" s="11">
        <v>0</v>
      </c>
      <c r="E87" s="11">
        <v>0</v>
      </c>
      <c r="F87" s="11">
        <v>-0.51900000000000002</v>
      </c>
      <c r="G87" s="11">
        <v>1</v>
      </c>
      <c r="H87" s="11">
        <v>0</v>
      </c>
      <c r="I87" s="11">
        <v>0</v>
      </c>
      <c r="J87" s="11">
        <v>1</v>
      </c>
    </row>
    <row r="88" spans="1:10" x14ac:dyDescent="0.45">
      <c r="A88" s="11">
        <v>80</v>
      </c>
      <c r="B88" s="11" t="s">
        <v>998</v>
      </c>
      <c r="C88" s="11">
        <v>0.18</v>
      </c>
      <c r="D88" s="11">
        <v>0</v>
      </c>
      <c r="E88" s="11">
        <v>0</v>
      </c>
      <c r="F88" s="11">
        <v>-0.51900000000000002</v>
      </c>
      <c r="G88" s="11">
        <v>1</v>
      </c>
      <c r="H88" s="11">
        <v>0</v>
      </c>
      <c r="I88" s="11">
        <v>0</v>
      </c>
      <c r="J88" s="11">
        <v>1</v>
      </c>
    </row>
    <row r="89" spans="1:10" x14ac:dyDescent="0.45">
      <c r="A89" s="11">
        <v>81</v>
      </c>
      <c r="B89" s="11" t="s">
        <v>999</v>
      </c>
      <c r="C89" s="11">
        <v>0.18</v>
      </c>
      <c r="D89" s="11">
        <v>0</v>
      </c>
      <c r="E89" s="11">
        <v>0</v>
      </c>
      <c r="F89" s="11">
        <v>-0.51900000000000002</v>
      </c>
      <c r="G89" s="11">
        <v>1</v>
      </c>
      <c r="H89" s="11">
        <v>0</v>
      </c>
      <c r="I89" s="11">
        <v>0</v>
      </c>
      <c r="J89" s="11">
        <v>1</v>
      </c>
    </row>
    <row r="90" spans="1:10" x14ac:dyDescent="0.45">
      <c r="A90" s="11">
        <v>82</v>
      </c>
      <c r="B90" s="11" t="s">
        <v>1000</v>
      </c>
      <c r="C90" s="11">
        <v>0.18</v>
      </c>
      <c r="D90" s="11">
        <v>0</v>
      </c>
      <c r="E90" s="11">
        <v>0</v>
      </c>
      <c r="F90" s="11">
        <v>-0.51900000000000002</v>
      </c>
      <c r="G90" s="11">
        <v>1</v>
      </c>
      <c r="H90" s="11">
        <v>0</v>
      </c>
      <c r="I90" s="11">
        <v>0</v>
      </c>
      <c r="J90" s="11">
        <v>1</v>
      </c>
    </row>
    <row r="91" spans="1:10" x14ac:dyDescent="0.45">
      <c r="A91" s="11">
        <v>83</v>
      </c>
      <c r="B91" s="11" t="s">
        <v>1001</v>
      </c>
      <c r="C91" s="11">
        <v>0.18</v>
      </c>
      <c r="D91" s="11">
        <v>0</v>
      </c>
      <c r="E91" s="11">
        <v>0</v>
      </c>
      <c r="F91" s="11">
        <v>-0.51900000000000002</v>
      </c>
      <c r="G91" s="11">
        <v>1</v>
      </c>
      <c r="H91" s="11">
        <v>0</v>
      </c>
      <c r="I91" s="11">
        <v>0</v>
      </c>
      <c r="J91" s="11">
        <v>1</v>
      </c>
    </row>
    <row r="92" spans="1:10" x14ac:dyDescent="0.45">
      <c r="A92" s="11">
        <v>84</v>
      </c>
      <c r="B92" s="11" t="s">
        <v>1002</v>
      </c>
      <c r="C92" s="11">
        <v>0.18</v>
      </c>
      <c r="D92" s="11">
        <v>0</v>
      </c>
      <c r="E92" s="11">
        <v>0</v>
      </c>
      <c r="F92" s="11">
        <v>-0.51900000000000002</v>
      </c>
      <c r="G92" s="11">
        <v>1</v>
      </c>
      <c r="H92" s="11">
        <v>0</v>
      </c>
      <c r="I92" s="11">
        <v>0</v>
      </c>
      <c r="J92" s="11">
        <v>1</v>
      </c>
    </row>
    <row r="93" spans="1:10" x14ac:dyDescent="0.45">
      <c r="A93" s="11">
        <v>85</v>
      </c>
      <c r="B93" s="11" t="s">
        <v>1003</v>
      </c>
      <c r="C93" s="11">
        <v>0.18</v>
      </c>
      <c r="D93" s="11">
        <v>0</v>
      </c>
      <c r="E93" s="11">
        <v>0</v>
      </c>
      <c r="F93" s="11">
        <v>-0.51900000000000002</v>
      </c>
      <c r="G93" s="11">
        <v>1</v>
      </c>
      <c r="H93" s="11">
        <v>0</v>
      </c>
      <c r="I93" s="11">
        <v>0</v>
      </c>
      <c r="J93" s="11">
        <v>1</v>
      </c>
    </row>
    <row r="94" spans="1:10" x14ac:dyDescent="0.45">
      <c r="A94" s="11">
        <v>86</v>
      </c>
      <c r="B94" s="11" t="s">
        <v>1004</v>
      </c>
      <c r="C94" s="11">
        <v>0.18</v>
      </c>
      <c r="D94" s="11">
        <v>0</v>
      </c>
      <c r="E94" s="11">
        <v>0</v>
      </c>
      <c r="F94" s="11">
        <v>-0.51900000000000002</v>
      </c>
      <c r="G94" s="11">
        <v>1</v>
      </c>
      <c r="H94" s="11">
        <v>0</v>
      </c>
      <c r="I94" s="11">
        <v>0</v>
      </c>
      <c r="J94" s="11">
        <v>1</v>
      </c>
    </row>
    <row r="95" spans="1:10" x14ac:dyDescent="0.45">
      <c r="A95" s="11">
        <v>87</v>
      </c>
      <c r="B95" s="11" t="s">
        <v>1005</v>
      </c>
      <c r="C95" s="11">
        <v>0.18</v>
      </c>
      <c r="D95" s="11">
        <v>0</v>
      </c>
      <c r="E95" s="11">
        <v>0</v>
      </c>
      <c r="F95" s="11">
        <v>-0.51900000000000002</v>
      </c>
      <c r="G95" s="11">
        <v>1</v>
      </c>
      <c r="H95" s="11">
        <v>0</v>
      </c>
      <c r="I95" s="11">
        <v>0</v>
      </c>
      <c r="J95" s="11">
        <v>1</v>
      </c>
    </row>
    <row r="96" spans="1:10" x14ac:dyDescent="0.45">
      <c r="A96" s="11">
        <v>88</v>
      </c>
      <c r="B96" s="11" t="s">
        <v>1006</v>
      </c>
      <c r="C96" s="11">
        <v>0</v>
      </c>
      <c r="D96" s="11">
        <v>1</v>
      </c>
      <c r="E96" s="11">
        <v>0</v>
      </c>
      <c r="F96" s="11">
        <v>-0.51900000000000002</v>
      </c>
      <c r="G96" s="11">
        <v>1</v>
      </c>
      <c r="H96" s="11">
        <v>0</v>
      </c>
      <c r="I96" s="11">
        <v>0</v>
      </c>
      <c r="J96" s="11">
        <v>1</v>
      </c>
    </row>
    <row r="97" spans="1:10" x14ac:dyDescent="0.45">
      <c r="A97" s="11">
        <v>89</v>
      </c>
      <c r="B97" s="11" t="s">
        <v>1007</v>
      </c>
      <c r="C97" s="11">
        <v>0</v>
      </c>
      <c r="D97" s="11">
        <v>1</v>
      </c>
      <c r="E97" s="11">
        <v>0</v>
      </c>
      <c r="F97" s="11">
        <v>-0.51900000000000002</v>
      </c>
      <c r="G97" s="11">
        <v>1</v>
      </c>
      <c r="H97" s="11">
        <v>0</v>
      </c>
      <c r="I97" s="11">
        <v>0</v>
      </c>
      <c r="J97" s="11">
        <v>1</v>
      </c>
    </row>
    <row r="98" spans="1:10" x14ac:dyDescent="0.45">
      <c r="A98" s="11">
        <v>90</v>
      </c>
      <c r="B98" s="11" t="s">
        <v>1008</v>
      </c>
      <c r="C98" s="11">
        <v>0</v>
      </c>
      <c r="D98" s="11">
        <v>1</v>
      </c>
      <c r="E98" s="11">
        <v>0</v>
      </c>
      <c r="F98" s="11">
        <v>-0.51900000000000002</v>
      </c>
      <c r="G98" s="11">
        <v>1</v>
      </c>
      <c r="H98" s="11">
        <v>0</v>
      </c>
      <c r="I98" s="11">
        <v>0</v>
      </c>
      <c r="J98" s="11">
        <v>1</v>
      </c>
    </row>
    <row r="99" spans="1:10" x14ac:dyDescent="0.45">
      <c r="A99" s="11">
        <v>91</v>
      </c>
      <c r="B99" s="11" t="s">
        <v>1009</v>
      </c>
      <c r="C99" s="11">
        <v>0</v>
      </c>
      <c r="D99" s="11">
        <v>1</v>
      </c>
      <c r="E99" s="11">
        <v>0</v>
      </c>
      <c r="F99" s="11">
        <v>-0.51900000000000002</v>
      </c>
      <c r="G99" s="11">
        <v>1</v>
      </c>
      <c r="H99" s="11">
        <v>0</v>
      </c>
      <c r="I99" s="11">
        <v>0</v>
      </c>
      <c r="J99" s="11">
        <v>1</v>
      </c>
    </row>
    <row r="100" spans="1:10" x14ac:dyDescent="0.45">
      <c r="A100" s="11">
        <v>92</v>
      </c>
      <c r="B100" s="11" t="s">
        <v>1010</v>
      </c>
      <c r="C100" s="11">
        <v>0</v>
      </c>
      <c r="D100" s="11">
        <v>1</v>
      </c>
      <c r="E100" s="11">
        <v>0</v>
      </c>
      <c r="F100" s="11">
        <v>-0.51900000000000002</v>
      </c>
      <c r="G100" s="11">
        <v>1</v>
      </c>
      <c r="H100" s="11">
        <v>0</v>
      </c>
      <c r="I100" s="11">
        <v>0</v>
      </c>
      <c r="J100" s="11">
        <v>1</v>
      </c>
    </row>
    <row r="101" spans="1:10" x14ac:dyDescent="0.45">
      <c r="A101" s="11">
        <v>93</v>
      </c>
      <c r="B101" s="11" t="s">
        <v>1011</v>
      </c>
      <c r="C101" s="11">
        <v>0</v>
      </c>
      <c r="D101" s="11">
        <v>1</v>
      </c>
      <c r="E101" s="11">
        <v>0</v>
      </c>
      <c r="F101" s="11">
        <v>-0.51900000000000002</v>
      </c>
      <c r="G101" s="11">
        <v>1</v>
      </c>
      <c r="H101" s="11">
        <v>0</v>
      </c>
      <c r="I101" s="11">
        <v>0</v>
      </c>
      <c r="J101" s="11">
        <v>1</v>
      </c>
    </row>
    <row r="102" spans="1:10" x14ac:dyDescent="0.45">
      <c r="A102" s="11">
        <v>94</v>
      </c>
      <c r="B102" s="11" t="s">
        <v>1012</v>
      </c>
      <c r="C102" s="11">
        <v>0</v>
      </c>
      <c r="D102" s="11">
        <v>1</v>
      </c>
      <c r="E102" s="11">
        <v>0</v>
      </c>
      <c r="F102" s="11">
        <v>-0.51900000000000002</v>
      </c>
      <c r="G102" s="11">
        <v>1</v>
      </c>
      <c r="H102" s="11">
        <v>0</v>
      </c>
      <c r="I102" s="11">
        <v>0</v>
      </c>
      <c r="J102" s="11">
        <v>1</v>
      </c>
    </row>
    <row r="103" spans="1:10" x14ac:dyDescent="0.45">
      <c r="A103" s="11">
        <v>95</v>
      </c>
      <c r="B103" s="11" t="s">
        <v>1013</v>
      </c>
      <c r="C103" s="11">
        <v>0</v>
      </c>
      <c r="D103" s="11">
        <v>1</v>
      </c>
      <c r="E103" s="11">
        <v>0</v>
      </c>
      <c r="F103" s="11">
        <v>-0.51900000000000002</v>
      </c>
      <c r="G103" s="11">
        <v>1</v>
      </c>
      <c r="H103" s="11">
        <v>0</v>
      </c>
      <c r="I103" s="11">
        <v>0</v>
      </c>
      <c r="J103" s="11">
        <v>1</v>
      </c>
    </row>
    <row r="104" spans="1:10" x14ac:dyDescent="0.45">
      <c r="A104" s="11">
        <v>96</v>
      </c>
      <c r="B104" s="11" t="s">
        <v>1014</v>
      </c>
      <c r="C104" s="11">
        <v>0</v>
      </c>
      <c r="D104" s="11">
        <v>1</v>
      </c>
      <c r="E104" s="11">
        <v>0</v>
      </c>
      <c r="F104" s="11">
        <v>-0.51900000000000002</v>
      </c>
      <c r="G104" s="11">
        <v>1</v>
      </c>
      <c r="H104" s="11">
        <v>0</v>
      </c>
      <c r="I104" s="11">
        <v>0</v>
      </c>
      <c r="J104" s="11">
        <v>1</v>
      </c>
    </row>
    <row r="105" spans="1:10" x14ac:dyDescent="0.45">
      <c r="A105" s="11">
        <v>97</v>
      </c>
      <c r="B105" s="11" t="s">
        <v>1015</v>
      </c>
      <c r="C105" s="11">
        <v>0</v>
      </c>
      <c r="D105" s="11">
        <v>1</v>
      </c>
      <c r="E105" s="11">
        <v>0</v>
      </c>
      <c r="F105" s="11">
        <v>-0.51900000000000002</v>
      </c>
      <c r="G105" s="11">
        <v>1</v>
      </c>
      <c r="H105" s="11">
        <v>0</v>
      </c>
      <c r="I105" s="11">
        <v>0</v>
      </c>
      <c r="J105" s="11">
        <v>0.5</v>
      </c>
    </row>
    <row r="106" spans="1:10" x14ac:dyDescent="0.45">
      <c r="A106" s="11">
        <v>97</v>
      </c>
      <c r="B106" s="11" t="s">
        <v>1015</v>
      </c>
      <c r="C106" s="11">
        <v>0</v>
      </c>
      <c r="D106" s="11">
        <v>1</v>
      </c>
      <c r="E106" s="11">
        <v>0</v>
      </c>
      <c r="F106" s="11">
        <v>-0.51900000000000002</v>
      </c>
      <c r="G106" s="11">
        <v>6</v>
      </c>
      <c r="H106" s="11">
        <v>0</v>
      </c>
      <c r="I106" s="11">
        <v>0</v>
      </c>
      <c r="J106" s="11">
        <v>0.5</v>
      </c>
    </row>
    <row r="107" spans="1:10" x14ac:dyDescent="0.45">
      <c r="A107" s="11">
        <v>98</v>
      </c>
      <c r="B107" s="11" t="s">
        <v>1016</v>
      </c>
      <c r="C107" s="11">
        <v>0</v>
      </c>
      <c r="D107" s="11">
        <v>1</v>
      </c>
      <c r="E107" s="11">
        <v>0</v>
      </c>
      <c r="F107" s="11">
        <v>-0.51900000000000002</v>
      </c>
      <c r="G107" s="11">
        <v>1</v>
      </c>
      <c r="H107" s="11">
        <v>0</v>
      </c>
      <c r="I107" s="11">
        <v>0</v>
      </c>
      <c r="J107" s="11">
        <v>1</v>
      </c>
    </row>
    <row r="108" spans="1:10" x14ac:dyDescent="0.45">
      <c r="A108" s="11">
        <v>99</v>
      </c>
      <c r="B108" s="11" t="s">
        <v>1017</v>
      </c>
      <c r="C108" s="11">
        <v>0</v>
      </c>
      <c r="D108" s="11">
        <v>1</v>
      </c>
      <c r="E108" s="11">
        <v>0</v>
      </c>
      <c r="F108" s="11">
        <v>-0.51900000000000002</v>
      </c>
      <c r="G108" s="11">
        <v>1</v>
      </c>
      <c r="H108" s="11">
        <v>0</v>
      </c>
      <c r="I108" s="11">
        <v>0</v>
      </c>
      <c r="J108" s="11">
        <v>1</v>
      </c>
    </row>
    <row r="109" spans="1:10" x14ac:dyDescent="0.45">
      <c r="A109" s="11">
        <v>100</v>
      </c>
      <c r="B109" s="11" t="s">
        <v>1018</v>
      </c>
      <c r="C109" s="11">
        <v>0</v>
      </c>
      <c r="D109" s="11">
        <v>1</v>
      </c>
      <c r="E109" s="11">
        <v>1</v>
      </c>
      <c r="F109" s="11">
        <v>-0.51900000000000002</v>
      </c>
      <c r="G109" s="11">
        <v>1</v>
      </c>
      <c r="H109" s="11">
        <v>0</v>
      </c>
      <c r="I109" s="11">
        <v>0.10473</v>
      </c>
      <c r="J109" s="11">
        <v>1</v>
      </c>
    </row>
    <row r="110" spans="1:10" x14ac:dyDescent="0.45">
      <c r="A110" s="11">
        <v>101</v>
      </c>
      <c r="B110" s="11" t="s">
        <v>1019</v>
      </c>
      <c r="C110" s="11">
        <v>0</v>
      </c>
      <c r="D110" s="11">
        <v>1</v>
      </c>
      <c r="E110" s="11">
        <v>1</v>
      </c>
      <c r="F110" s="11">
        <v>-0.51900000000000002</v>
      </c>
      <c r="G110" s="11">
        <v>1</v>
      </c>
      <c r="H110" s="11">
        <v>0</v>
      </c>
      <c r="I110" s="11">
        <v>6.1089999999999998E-2</v>
      </c>
      <c r="J110" s="11">
        <v>1</v>
      </c>
    </row>
    <row r="111" spans="1:10" x14ac:dyDescent="0.45">
      <c r="A111" s="11">
        <v>102</v>
      </c>
      <c r="B111" s="11" t="s">
        <v>1020</v>
      </c>
      <c r="C111" s="11">
        <v>0</v>
      </c>
      <c r="D111" s="11">
        <v>1</v>
      </c>
      <c r="E111" s="11">
        <v>1</v>
      </c>
      <c r="F111" s="11">
        <v>-0.51900000000000002</v>
      </c>
      <c r="G111" s="11">
        <v>1</v>
      </c>
      <c r="H111" s="11">
        <v>0</v>
      </c>
      <c r="I111" s="73">
        <v>2.4000000000000001E-5</v>
      </c>
      <c r="J111" s="11">
        <v>1</v>
      </c>
    </row>
    <row r="112" spans="1:10" x14ac:dyDescent="0.45">
      <c r="A112" s="11">
        <v>103</v>
      </c>
      <c r="B112" s="11" t="s">
        <v>1021</v>
      </c>
      <c r="C112" s="11">
        <v>0</v>
      </c>
      <c r="D112" s="11">
        <v>1</v>
      </c>
      <c r="E112" s="11">
        <v>1</v>
      </c>
      <c r="F112" s="11">
        <v>-0.51900000000000002</v>
      </c>
      <c r="G112" s="11">
        <v>1</v>
      </c>
      <c r="H112" s="11">
        <v>0</v>
      </c>
      <c r="I112" s="73">
        <v>2.4000000000000001E-5</v>
      </c>
      <c r="J112" s="11">
        <v>1</v>
      </c>
    </row>
    <row r="113" spans="1:10" x14ac:dyDescent="0.45">
      <c r="A113" s="11">
        <v>104</v>
      </c>
      <c r="B113" s="11" t="s">
        <v>1022</v>
      </c>
      <c r="C113" s="11">
        <v>0</v>
      </c>
      <c r="D113" s="11">
        <v>1</v>
      </c>
      <c r="E113" s="11">
        <v>1</v>
      </c>
      <c r="F113" s="11">
        <v>-0.51900000000000002</v>
      </c>
      <c r="G113" s="11">
        <v>1</v>
      </c>
      <c r="H113" s="11">
        <v>0</v>
      </c>
      <c r="I113" s="73">
        <v>2.4000000000000001E-5</v>
      </c>
      <c r="J113" s="11">
        <v>1</v>
      </c>
    </row>
    <row r="114" spans="1:10" x14ac:dyDescent="0.45">
      <c r="A114" s="11">
        <v>105</v>
      </c>
      <c r="B114" s="11" t="s">
        <v>1023</v>
      </c>
      <c r="C114" s="11">
        <v>0</v>
      </c>
      <c r="D114" s="11">
        <v>1</v>
      </c>
      <c r="E114" s="11">
        <v>1</v>
      </c>
      <c r="F114" s="11">
        <v>-0.51900000000000002</v>
      </c>
      <c r="G114" s="11">
        <v>1</v>
      </c>
      <c r="H114" s="11">
        <v>0</v>
      </c>
      <c r="I114" s="73">
        <v>2.4000000000000001E-5</v>
      </c>
      <c r="J114" s="11">
        <v>1</v>
      </c>
    </row>
    <row r="115" spans="1:10" x14ac:dyDescent="0.45">
      <c r="A115" s="11">
        <v>106</v>
      </c>
      <c r="B115" s="11" t="s">
        <v>1024</v>
      </c>
      <c r="C115" s="11">
        <v>0</v>
      </c>
      <c r="D115" s="11">
        <v>1</v>
      </c>
      <c r="E115" s="11">
        <v>1</v>
      </c>
      <c r="F115" s="11">
        <v>-0.51900000000000002</v>
      </c>
      <c r="G115" s="11">
        <v>1</v>
      </c>
      <c r="H115" s="11">
        <v>0</v>
      </c>
      <c r="I115" s="11">
        <v>5.994E-2</v>
      </c>
      <c r="J115" s="11">
        <v>1</v>
      </c>
    </row>
    <row r="116" spans="1:10" x14ac:dyDescent="0.45">
      <c r="A116" s="11">
        <v>107</v>
      </c>
      <c r="B116" s="11" t="s">
        <v>1025</v>
      </c>
      <c r="C116" s="11">
        <v>0</v>
      </c>
      <c r="D116" s="11">
        <v>1</v>
      </c>
      <c r="E116" s="11">
        <v>1</v>
      </c>
      <c r="F116" s="11">
        <v>-0.51900000000000002</v>
      </c>
      <c r="G116" s="11">
        <v>1</v>
      </c>
      <c r="H116" s="11">
        <v>0</v>
      </c>
      <c r="I116" s="11">
        <v>0.20977000000000001</v>
      </c>
      <c r="J116" s="11">
        <v>1</v>
      </c>
    </row>
    <row r="117" spans="1:10" x14ac:dyDescent="0.45">
      <c r="A117" s="11">
        <v>108</v>
      </c>
      <c r="B117" s="11" t="s">
        <v>1026</v>
      </c>
      <c r="C117" s="11">
        <v>0.18</v>
      </c>
      <c r="D117" s="11">
        <v>0</v>
      </c>
      <c r="E117" s="11">
        <v>1</v>
      </c>
      <c r="F117" s="11">
        <v>-0.51900000000000002</v>
      </c>
      <c r="G117" s="11">
        <v>6</v>
      </c>
      <c r="H117" s="11">
        <v>1</v>
      </c>
      <c r="I117" s="11">
        <v>0.35125000000000001</v>
      </c>
      <c r="J117" s="11">
        <v>1</v>
      </c>
    </row>
    <row r="118" spans="1:10" x14ac:dyDescent="0.45">
      <c r="A118" s="11">
        <v>109</v>
      </c>
      <c r="B118" s="11" t="s">
        <v>1027</v>
      </c>
      <c r="C118" s="11">
        <v>0</v>
      </c>
      <c r="D118" s="11">
        <v>1</v>
      </c>
      <c r="E118" s="11">
        <v>0</v>
      </c>
      <c r="F118" s="11">
        <v>-0.51900000000000002</v>
      </c>
      <c r="G118" s="11">
        <v>1</v>
      </c>
      <c r="H118" s="11">
        <v>0</v>
      </c>
      <c r="I118" s="11">
        <v>0</v>
      </c>
      <c r="J118" s="11">
        <v>1</v>
      </c>
    </row>
    <row r="119" spans="1:10" x14ac:dyDescent="0.45">
      <c r="A119" s="11">
        <v>110</v>
      </c>
      <c r="B119" s="11" t="s">
        <v>1028</v>
      </c>
      <c r="C119" s="11">
        <v>0</v>
      </c>
      <c r="D119" s="11">
        <v>1</v>
      </c>
      <c r="E119" s="11">
        <v>0</v>
      </c>
      <c r="F119" s="11">
        <v>-0.51900000000000002</v>
      </c>
      <c r="G119" s="11">
        <v>1</v>
      </c>
      <c r="H119" s="11">
        <v>0</v>
      </c>
      <c r="I119" s="11">
        <v>0</v>
      </c>
      <c r="J119" s="11">
        <v>0.5</v>
      </c>
    </row>
    <row r="120" spans="1:10" x14ac:dyDescent="0.45">
      <c r="A120" s="11">
        <v>110</v>
      </c>
      <c r="B120" s="11" t="s">
        <v>1028</v>
      </c>
      <c r="C120" s="11">
        <v>0</v>
      </c>
      <c r="D120" s="11">
        <v>1</v>
      </c>
      <c r="E120" s="11">
        <v>0</v>
      </c>
      <c r="F120" s="11">
        <v>-0.51900000000000002</v>
      </c>
      <c r="G120" s="11">
        <v>6</v>
      </c>
      <c r="H120" s="11">
        <v>0</v>
      </c>
      <c r="I120" s="11">
        <v>0</v>
      </c>
      <c r="J120" s="11">
        <v>0.5</v>
      </c>
    </row>
    <row r="121" spans="1:10" x14ac:dyDescent="0.45">
      <c r="A121" s="11">
        <v>111</v>
      </c>
      <c r="B121" s="11" t="s">
        <v>1029</v>
      </c>
      <c r="C121" s="11">
        <v>0</v>
      </c>
      <c r="D121" s="11">
        <v>1</v>
      </c>
      <c r="E121" s="11">
        <v>1</v>
      </c>
      <c r="F121" s="11">
        <v>-0.51900000000000002</v>
      </c>
      <c r="G121" s="11">
        <v>1</v>
      </c>
      <c r="H121" s="11">
        <v>0</v>
      </c>
      <c r="I121" s="11">
        <v>3.3849999999999998E-2</v>
      </c>
      <c r="J121" s="11">
        <v>1</v>
      </c>
    </row>
    <row r="122" spans="1:10" x14ac:dyDescent="0.45">
      <c r="A122" s="11">
        <v>112</v>
      </c>
      <c r="B122" s="11" t="s">
        <v>1030</v>
      </c>
      <c r="C122" s="11">
        <v>0</v>
      </c>
      <c r="D122" s="11">
        <v>1</v>
      </c>
      <c r="E122" s="11">
        <v>1</v>
      </c>
      <c r="F122" s="11">
        <v>-0.51900000000000002</v>
      </c>
      <c r="G122" s="11">
        <v>1</v>
      </c>
      <c r="H122" s="11">
        <v>0</v>
      </c>
      <c r="I122" s="11">
        <v>3.3849999999999998E-2</v>
      </c>
      <c r="J122" s="11">
        <v>1</v>
      </c>
    </row>
    <row r="123" spans="1:10" x14ac:dyDescent="0.45">
      <c r="A123" s="11">
        <v>113</v>
      </c>
      <c r="B123" s="11" t="s">
        <v>1031</v>
      </c>
      <c r="C123" s="11">
        <v>0</v>
      </c>
      <c r="D123" s="11">
        <v>1</v>
      </c>
      <c r="E123" s="11">
        <v>0</v>
      </c>
      <c r="F123" s="11">
        <v>-0.51900000000000002</v>
      </c>
      <c r="G123" s="11">
        <v>1</v>
      </c>
      <c r="H123" s="11">
        <v>0</v>
      </c>
      <c r="I123" s="11">
        <v>0</v>
      </c>
      <c r="J123" s="11">
        <v>1</v>
      </c>
    </row>
    <row r="124" spans="1:10" x14ac:dyDescent="0.45">
      <c r="A124" s="11">
        <v>114</v>
      </c>
      <c r="B124" s="11" t="s">
        <v>1032</v>
      </c>
      <c r="C124" s="11">
        <v>0</v>
      </c>
      <c r="D124" s="11">
        <v>1</v>
      </c>
      <c r="E124" s="11">
        <v>0</v>
      </c>
      <c r="F124" s="11">
        <v>-0.51900000000000002</v>
      </c>
      <c r="G124" s="11">
        <v>1</v>
      </c>
      <c r="H124" s="11">
        <v>0</v>
      </c>
      <c r="I124" s="11">
        <v>0</v>
      </c>
      <c r="J124" s="11">
        <v>0.5</v>
      </c>
    </row>
    <row r="125" spans="1:10" x14ac:dyDescent="0.45">
      <c r="A125" s="11">
        <v>114</v>
      </c>
      <c r="B125" s="11" t="s">
        <v>1032</v>
      </c>
      <c r="C125" s="11">
        <v>0</v>
      </c>
      <c r="D125" s="11">
        <v>1</v>
      </c>
      <c r="E125" s="11">
        <v>0</v>
      </c>
      <c r="F125" s="11">
        <v>-0.51900000000000002</v>
      </c>
      <c r="G125" s="11">
        <v>6</v>
      </c>
      <c r="H125" s="11">
        <v>0</v>
      </c>
      <c r="I125" s="11">
        <v>0</v>
      </c>
      <c r="J125" s="11">
        <v>0.5</v>
      </c>
    </row>
    <row r="126" spans="1:10" x14ac:dyDescent="0.45">
      <c r="A126" s="11">
        <v>115</v>
      </c>
      <c r="B126" s="11" t="s">
        <v>1033</v>
      </c>
      <c r="C126" s="11">
        <v>0</v>
      </c>
      <c r="D126" s="11">
        <v>1</v>
      </c>
      <c r="E126" s="11">
        <v>0</v>
      </c>
      <c r="F126" s="11">
        <v>-0.51900000000000002</v>
      </c>
      <c r="G126" s="11">
        <v>1</v>
      </c>
      <c r="H126" s="11">
        <v>0</v>
      </c>
      <c r="I126" s="11">
        <v>0</v>
      </c>
      <c r="J126" s="11">
        <v>0.5</v>
      </c>
    </row>
    <row r="127" spans="1:10" x14ac:dyDescent="0.45">
      <c r="A127" s="11">
        <v>115</v>
      </c>
      <c r="B127" s="11" t="s">
        <v>1033</v>
      </c>
      <c r="C127" s="11">
        <v>0</v>
      </c>
      <c r="D127" s="11">
        <v>1</v>
      </c>
      <c r="E127" s="11">
        <v>0</v>
      </c>
      <c r="F127" s="11">
        <v>-0.51900000000000002</v>
      </c>
      <c r="G127" s="11">
        <v>6</v>
      </c>
      <c r="H127" s="11">
        <v>0</v>
      </c>
      <c r="I127" s="11">
        <v>0</v>
      </c>
      <c r="J127" s="11">
        <v>0.5</v>
      </c>
    </row>
    <row r="128" spans="1:10" x14ac:dyDescent="0.45">
      <c r="A128" s="11">
        <v>116</v>
      </c>
      <c r="B128" s="11" t="s">
        <v>1034</v>
      </c>
      <c r="C128" s="11">
        <v>0</v>
      </c>
      <c r="D128" s="11">
        <v>1</v>
      </c>
      <c r="E128" s="11">
        <v>0</v>
      </c>
      <c r="F128" s="11">
        <v>-0.51900000000000002</v>
      </c>
      <c r="G128" s="11">
        <v>1</v>
      </c>
      <c r="H128" s="11">
        <v>0</v>
      </c>
      <c r="I128" s="11">
        <v>0</v>
      </c>
      <c r="J128" s="11">
        <v>0.5</v>
      </c>
    </row>
    <row r="129" spans="1:10" x14ac:dyDescent="0.45">
      <c r="A129" s="11">
        <v>116</v>
      </c>
      <c r="B129" s="11" t="s">
        <v>1034</v>
      </c>
      <c r="C129" s="11">
        <v>0</v>
      </c>
      <c r="D129" s="11">
        <v>1</v>
      </c>
      <c r="E129" s="11">
        <v>0</v>
      </c>
      <c r="F129" s="11">
        <v>-0.51900000000000002</v>
      </c>
      <c r="G129" s="11">
        <v>6</v>
      </c>
      <c r="H129" s="11">
        <v>0</v>
      </c>
      <c r="I129" s="11">
        <v>0</v>
      </c>
      <c r="J129" s="11">
        <v>0.5</v>
      </c>
    </row>
    <row r="130" spans="1:10" x14ac:dyDescent="0.45">
      <c r="A130" s="11">
        <v>117</v>
      </c>
      <c r="B130" s="11" t="s">
        <v>1035</v>
      </c>
      <c r="C130" s="11">
        <v>0</v>
      </c>
      <c r="D130" s="11">
        <v>1</v>
      </c>
      <c r="E130" s="11">
        <v>0</v>
      </c>
      <c r="F130" s="11">
        <v>-0.51900000000000002</v>
      </c>
      <c r="G130" s="11">
        <v>1</v>
      </c>
      <c r="H130" s="11">
        <v>0</v>
      </c>
      <c r="I130" s="11">
        <v>0</v>
      </c>
      <c r="J130" s="11">
        <v>0.5</v>
      </c>
    </row>
    <row r="131" spans="1:10" x14ac:dyDescent="0.45">
      <c r="A131" s="11">
        <v>117</v>
      </c>
      <c r="B131" s="11" t="s">
        <v>1035</v>
      </c>
      <c r="C131" s="11">
        <v>0</v>
      </c>
      <c r="D131" s="11">
        <v>1</v>
      </c>
      <c r="E131" s="11">
        <v>0</v>
      </c>
      <c r="F131" s="11">
        <v>-0.51900000000000002</v>
      </c>
      <c r="G131" s="11">
        <v>6</v>
      </c>
      <c r="H131" s="11">
        <v>0</v>
      </c>
      <c r="I131" s="11">
        <v>0</v>
      </c>
      <c r="J131" s="11">
        <v>0.5</v>
      </c>
    </row>
    <row r="132" spans="1:10" x14ac:dyDescent="0.45">
      <c r="A132" s="11">
        <v>118</v>
      </c>
      <c r="B132" s="11" t="s">
        <v>1036</v>
      </c>
      <c r="C132" s="11">
        <v>0.18</v>
      </c>
      <c r="D132" s="11">
        <v>0</v>
      </c>
      <c r="E132" s="11">
        <v>0</v>
      </c>
      <c r="F132" s="11">
        <v>-0.51900000000000002</v>
      </c>
      <c r="G132" s="11">
        <v>6</v>
      </c>
      <c r="H132" s="11">
        <v>1</v>
      </c>
      <c r="I132" s="11">
        <v>0</v>
      </c>
      <c r="J132" s="11">
        <v>1</v>
      </c>
    </row>
    <row r="133" spans="1:10" x14ac:dyDescent="0.45">
      <c r="A133" s="11">
        <v>119</v>
      </c>
      <c r="B133" s="11" t="s">
        <v>1037</v>
      </c>
      <c r="C133" s="11">
        <v>0.18</v>
      </c>
      <c r="D133" s="11">
        <v>0</v>
      </c>
      <c r="E133" s="11">
        <v>0</v>
      </c>
      <c r="F133" s="11">
        <v>-0.51900000000000002</v>
      </c>
      <c r="G133" s="11">
        <v>6</v>
      </c>
      <c r="H133" s="11">
        <v>1</v>
      </c>
      <c r="I133" s="11">
        <v>0</v>
      </c>
      <c r="J133" s="11">
        <v>1</v>
      </c>
    </row>
    <row r="134" spans="1:10" x14ac:dyDescent="0.45">
      <c r="A134" s="11">
        <v>120</v>
      </c>
      <c r="B134" s="11" t="s">
        <v>1038</v>
      </c>
      <c r="C134" s="11">
        <v>0</v>
      </c>
      <c r="D134" s="11">
        <v>1</v>
      </c>
      <c r="E134" s="11">
        <v>1</v>
      </c>
      <c r="F134" s="11">
        <v>-0.51900000000000002</v>
      </c>
      <c r="G134" s="11">
        <v>1</v>
      </c>
      <c r="H134" s="11">
        <v>0</v>
      </c>
      <c r="I134" s="11">
        <v>6.8379999999999996E-2</v>
      </c>
      <c r="J134" s="11">
        <v>1</v>
      </c>
    </row>
    <row r="135" spans="1:10" x14ac:dyDescent="0.45">
      <c r="A135" s="11">
        <v>121</v>
      </c>
      <c r="B135" s="11" t="s">
        <v>1039</v>
      </c>
      <c r="C135" s="11">
        <v>0</v>
      </c>
      <c r="D135" s="11">
        <v>1</v>
      </c>
      <c r="E135" s="11">
        <v>0</v>
      </c>
      <c r="F135" s="11">
        <v>-0.51900000000000002</v>
      </c>
      <c r="G135" s="11">
        <v>1</v>
      </c>
      <c r="H135" s="11">
        <v>0</v>
      </c>
      <c r="I135" s="11">
        <v>0</v>
      </c>
      <c r="J135" s="11">
        <v>1</v>
      </c>
    </row>
    <row r="136" spans="1:10" x14ac:dyDescent="0.45">
      <c r="A136" s="11">
        <v>122</v>
      </c>
      <c r="B136" s="11" t="s">
        <v>1040</v>
      </c>
      <c r="C136" s="11">
        <v>0</v>
      </c>
      <c r="D136" s="11">
        <v>1</v>
      </c>
      <c r="E136" s="11">
        <v>1</v>
      </c>
      <c r="F136" s="11">
        <v>-0.51900000000000002</v>
      </c>
      <c r="G136" s="11">
        <v>1</v>
      </c>
      <c r="H136" s="11">
        <v>0</v>
      </c>
      <c r="I136" s="11">
        <v>6.8379999999999996E-2</v>
      </c>
      <c r="J136" s="11">
        <v>1</v>
      </c>
    </row>
    <row r="137" spans="1:10" x14ac:dyDescent="0.45">
      <c r="A137" s="11">
        <v>123</v>
      </c>
      <c r="B137" s="11" t="s">
        <v>1041</v>
      </c>
      <c r="C137" s="11">
        <v>0</v>
      </c>
      <c r="D137" s="11">
        <v>1</v>
      </c>
      <c r="E137" s="11">
        <v>1</v>
      </c>
      <c r="F137" s="11">
        <v>-0.51900000000000002</v>
      </c>
      <c r="G137" s="11">
        <v>1</v>
      </c>
      <c r="H137" s="11">
        <v>0</v>
      </c>
      <c r="I137" s="73">
        <v>1.7999999999999999E-6</v>
      </c>
      <c r="J137" s="11">
        <v>1</v>
      </c>
    </row>
    <row r="138" spans="1:10" x14ac:dyDescent="0.45">
      <c r="A138" s="11">
        <v>124</v>
      </c>
      <c r="B138" s="11" t="s">
        <v>1042</v>
      </c>
      <c r="C138" s="11">
        <v>0</v>
      </c>
      <c r="D138" s="11">
        <v>1</v>
      </c>
      <c r="E138" s="11">
        <v>1</v>
      </c>
      <c r="F138" s="11">
        <v>-0.51900000000000002</v>
      </c>
      <c r="G138" s="11">
        <v>1</v>
      </c>
      <c r="H138" s="11">
        <v>0</v>
      </c>
      <c r="I138" s="73">
        <v>1.7999999999999999E-6</v>
      </c>
      <c r="J138" s="11">
        <v>1</v>
      </c>
    </row>
    <row r="139" spans="1:10" x14ac:dyDescent="0.45">
      <c r="A139" s="11">
        <v>125</v>
      </c>
      <c r="B139" s="11" t="s">
        <v>1043</v>
      </c>
      <c r="C139" s="11">
        <v>0</v>
      </c>
      <c r="D139" s="11">
        <v>1</v>
      </c>
      <c r="E139" s="11">
        <v>1</v>
      </c>
      <c r="F139" s="11">
        <v>-0.51900000000000002</v>
      </c>
      <c r="G139" s="11">
        <v>1</v>
      </c>
      <c r="H139" s="11">
        <v>0</v>
      </c>
      <c r="I139" s="11">
        <v>8.4600000000000005E-3</v>
      </c>
      <c r="J139" s="11">
        <v>1</v>
      </c>
    </row>
    <row r="140" spans="1:10" x14ac:dyDescent="0.45">
      <c r="A140" s="11">
        <v>126</v>
      </c>
      <c r="B140" s="11" t="s">
        <v>1044</v>
      </c>
      <c r="C140" s="11">
        <v>0</v>
      </c>
      <c r="D140" s="11">
        <v>1</v>
      </c>
      <c r="E140" s="11">
        <v>1</v>
      </c>
      <c r="F140" s="11">
        <v>-0.51900000000000002</v>
      </c>
      <c r="G140" s="11">
        <v>1</v>
      </c>
      <c r="H140" s="11">
        <v>0</v>
      </c>
      <c r="I140" s="11">
        <v>0.19431999999999999</v>
      </c>
      <c r="J140" s="11">
        <v>1</v>
      </c>
    </row>
    <row r="141" spans="1:10" x14ac:dyDescent="0.45">
      <c r="A141" s="11">
        <v>127</v>
      </c>
      <c r="B141" s="11" t="s">
        <v>1045</v>
      </c>
      <c r="C141" s="11">
        <v>0</v>
      </c>
      <c r="D141" s="11">
        <v>1</v>
      </c>
      <c r="E141" s="11">
        <v>1</v>
      </c>
      <c r="F141" s="11">
        <v>-0.51900000000000002</v>
      </c>
      <c r="G141" s="11">
        <v>1</v>
      </c>
      <c r="H141" s="11">
        <v>0</v>
      </c>
      <c r="I141" s="73">
        <v>1.7999999999999999E-6</v>
      </c>
      <c r="J141" s="11">
        <v>1</v>
      </c>
    </row>
    <row r="142" spans="1:10" x14ac:dyDescent="0.45">
      <c r="A142" s="11">
        <v>128</v>
      </c>
      <c r="B142" s="11" t="s">
        <v>1046</v>
      </c>
      <c r="C142" s="11">
        <v>0</v>
      </c>
      <c r="D142" s="11">
        <v>1</v>
      </c>
      <c r="E142" s="11">
        <v>1</v>
      </c>
      <c r="F142" s="11">
        <v>-0.51900000000000002</v>
      </c>
      <c r="G142" s="11">
        <v>1</v>
      </c>
      <c r="H142" s="11">
        <v>0</v>
      </c>
      <c r="I142" s="73">
        <v>1.7999999999999999E-6</v>
      </c>
      <c r="J142" s="11">
        <v>1</v>
      </c>
    </row>
    <row r="143" spans="1:10" x14ac:dyDescent="0.45">
      <c r="A143" s="11">
        <v>129</v>
      </c>
      <c r="B143" s="11" t="s">
        <v>1047</v>
      </c>
      <c r="C143" s="11">
        <v>0</v>
      </c>
      <c r="D143" s="11">
        <v>1</v>
      </c>
      <c r="E143" s="11">
        <v>1</v>
      </c>
      <c r="F143" s="11">
        <v>-0.51900000000000002</v>
      </c>
      <c r="G143" s="11">
        <v>1</v>
      </c>
      <c r="H143" s="11">
        <v>0</v>
      </c>
      <c r="I143" s="73">
        <v>1.7999999999999999E-6</v>
      </c>
      <c r="J143" s="11">
        <v>1</v>
      </c>
    </row>
    <row r="144" spans="1:10" x14ac:dyDescent="0.45">
      <c r="A144" s="11">
        <v>130</v>
      </c>
      <c r="B144" s="11" t="s">
        <v>1048</v>
      </c>
      <c r="C144" s="11">
        <v>0.18</v>
      </c>
      <c r="D144" s="11">
        <v>0</v>
      </c>
      <c r="E144" s="11">
        <v>1</v>
      </c>
      <c r="F144" s="11">
        <v>-0.51900000000000002</v>
      </c>
      <c r="G144" s="11">
        <v>6</v>
      </c>
      <c r="H144" s="11">
        <v>1</v>
      </c>
      <c r="I144" s="73">
        <v>1.7999999999999999E-6</v>
      </c>
      <c r="J144" s="11">
        <v>1</v>
      </c>
    </row>
    <row r="145" spans="1:10" x14ac:dyDescent="0.45">
      <c r="A145" s="11">
        <v>131</v>
      </c>
      <c r="B145" s="11" t="s">
        <v>1049</v>
      </c>
      <c r="C145" s="11">
        <v>0.18</v>
      </c>
      <c r="D145" s="11">
        <v>0</v>
      </c>
      <c r="E145" s="11">
        <v>1</v>
      </c>
      <c r="F145" s="11">
        <v>-0.51900000000000002</v>
      </c>
      <c r="G145" s="11">
        <v>6</v>
      </c>
      <c r="H145" s="11">
        <v>1</v>
      </c>
      <c r="I145" s="11">
        <v>6.6489999999999994E-2</v>
      </c>
      <c r="J145" s="11">
        <v>1</v>
      </c>
    </row>
    <row r="146" spans="1:10" x14ac:dyDescent="0.45">
      <c r="A146" s="11">
        <v>132</v>
      </c>
      <c r="B146" s="11" t="s">
        <v>1050</v>
      </c>
      <c r="C146" s="11">
        <v>0.18</v>
      </c>
      <c r="D146" s="11">
        <v>0</v>
      </c>
      <c r="E146" s="11">
        <v>1</v>
      </c>
      <c r="F146" s="11">
        <v>-0.51900000000000002</v>
      </c>
      <c r="G146" s="11">
        <v>6</v>
      </c>
      <c r="H146" s="11">
        <v>1</v>
      </c>
      <c r="I146" s="73">
        <v>1.7999999999999999E-6</v>
      </c>
      <c r="J146" s="11">
        <v>1</v>
      </c>
    </row>
    <row r="147" spans="1:10" x14ac:dyDescent="0.45">
      <c r="A147" s="11">
        <v>133</v>
      </c>
      <c r="B147" s="11" t="s">
        <v>1051</v>
      </c>
      <c r="C147" s="11">
        <v>0.18</v>
      </c>
      <c r="D147" s="11">
        <v>0</v>
      </c>
      <c r="E147" s="11">
        <v>0</v>
      </c>
      <c r="F147" s="11">
        <v>-0.51900000000000002</v>
      </c>
      <c r="G147" s="11">
        <v>1</v>
      </c>
      <c r="H147" s="11">
        <v>0</v>
      </c>
      <c r="I147" s="11">
        <v>0</v>
      </c>
      <c r="J147" s="11">
        <v>1</v>
      </c>
    </row>
    <row r="148" spans="1:10" x14ac:dyDescent="0.45">
      <c r="A148" s="11">
        <v>134</v>
      </c>
      <c r="B148" s="11" t="s">
        <v>1052</v>
      </c>
      <c r="C148" s="11">
        <v>0.18</v>
      </c>
      <c r="D148" s="11">
        <v>0</v>
      </c>
      <c r="E148" s="11">
        <v>1</v>
      </c>
      <c r="F148" s="11">
        <v>-0.63400000000000001</v>
      </c>
      <c r="G148" s="11">
        <v>6</v>
      </c>
      <c r="H148" s="11">
        <v>1</v>
      </c>
      <c r="I148" s="11">
        <v>7.2599999999999998E-2</v>
      </c>
      <c r="J148" s="11">
        <v>1</v>
      </c>
    </row>
    <row r="149" spans="1:10" x14ac:dyDescent="0.45">
      <c r="A149" s="11">
        <v>135</v>
      </c>
      <c r="B149" s="11" t="s">
        <v>1053</v>
      </c>
      <c r="C149" s="11">
        <v>0.18</v>
      </c>
      <c r="D149" s="11">
        <v>0</v>
      </c>
      <c r="E149" s="11">
        <v>1</v>
      </c>
      <c r="F149" s="11">
        <v>-0.63400000000000001</v>
      </c>
      <c r="G149" s="11">
        <v>6</v>
      </c>
      <c r="H149" s="11">
        <v>1</v>
      </c>
      <c r="I149" s="73">
        <v>2.4000000000000001E-5</v>
      </c>
      <c r="J149" s="11">
        <v>1</v>
      </c>
    </row>
    <row r="150" spans="1:10" x14ac:dyDescent="0.45">
      <c r="A150" s="11">
        <v>136</v>
      </c>
      <c r="B150" s="11" t="s">
        <v>1054</v>
      </c>
      <c r="C150" s="11">
        <v>0.18</v>
      </c>
      <c r="D150" s="11">
        <v>0</v>
      </c>
      <c r="E150" s="11">
        <v>1</v>
      </c>
      <c r="F150" s="11">
        <v>-0.63400000000000001</v>
      </c>
      <c r="G150" s="11">
        <v>6</v>
      </c>
      <c r="H150" s="11">
        <v>1</v>
      </c>
      <c r="I150" s="11">
        <v>4.4200000000000003E-3</v>
      </c>
      <c r="J150" s="11">
        <v>1</v>
      </c>
    </row>
    <row r="151" spans="1:10" x14ac:dyDescent="0.45">
      <c r="A151" s="11">
        <v>137</v>
      </c>
      <c r="B151" s="11" t="s">
        <v>1055</v>
      </c>
      <c r="C151" s="11">
        <v>0.18</v>
      </c>
      <c r="D151" s="11">
        <v>0</v>
      </c>
      <c r="E151" s="11">
        <v>1</v>
      </c>
      <c r="F151" s="11">
        <v>-0.63400000000000001</v>
      </c>
      <c r="G151" s="11">
        <v>6</v>
      </c>
      <c r="H151" s="11">
        <v>1</v>
      </c>
      <c r="I151" s="73">
        <v>9.9999999999999995E-7</v>
      </c>
      <c r="J151" s="11">
        <v>1</v>
      </c>
    </row>
    <row r="152" spans="1:10" x14ac:dyDescent="0.45">
      <c r="A152" s="11">
        <v>138</v>
      </c>
      <c r="B152" s="11" t="s">
        <v>1056</v>
      </c>
      <c r="C152" s="11">
        <v>0.18</v>
      </c>
      <c r="D152" s="11">
        <v>0</v>
      </c>
      <c r="E152" s="11">
        <v>1</v>
      </c>
      <c r="F152" s="11">
        <v>-0.63400000000000001</v>
      </c>
      <c r="G152" s="11">
        <v>6</v>
      </c>
      <c r="H152" s="11">
        <v>1</v>
      </c>
      <c r="I152" s="11">
        <v>0.20136000000000001</v>
      </c>
      <c r="J152" s="11">
        <v>1</v>
      </c>
    </row>
    <row r="153" spans="1:10" x14ac:dyDescent="0.45">
      <c r="A153" s="11">
        <v>139</v>
      </c>
      <c r="B153" s="11" t="s">
        <v>1057</v>
      </c>
      <c r="C153" s="11">
        <v>0.18</v>
      </c>
      <c r="D153" s="11">
        <v>0</v>
      </c>
      <c r="E153" s="11">
        <v>1</v>
      </c>
      <c r="F153" s="11">
        <v>-0.63400000000000001</v>
      </c>
      <c r="G153" s="11">
        <v>6</v>
      </c>
      <c r="H153" s="11">
        <v>1</v>
      </c>
      <c r="I153" s="11">
        <v>1.3650000000000001E-2</v>
      </c>
      <c r="J153" s="11">
        <v>1</v>
      </c>
    </row>
    <row r="154" spans="1:10" x14ac:dyDescent="0.45">
      <c r="A154" s="11">
        <v>140</v>
      </c>
      <c r="B154" s="11" t="s">
        <v>1058</v>
      </c>
      <c r="C154" s="11">
        <v>0.18</v>
      </c>
      <c r="D154" s="11">
        <v>0</v>
      </c>
      <c r="E154" s="11">
        <v>1</v>
      </c>
      <c r="F154" s="11">
        <v>-0.63400000000000001</v>
      </c>
      <c r="G154" s="11">
        <v>6</v>
      </c>
      <c r="H154" s="11">
        <v>1</v>
      </c>
      <c r="I154" s="11">
        <v>1.89E-3</v>
      </c>
      <c r="J154" s="11">
        <v>1</v>
      </c>
    </row>
    <row r="155" spans="1:10" x14ac:dyDescent="0.45">
      <c r="A155" s="11">
        <v>141</v>
      </c>
      <c r="B155" s="11" t="s">
        <v>1059</v>
      </c>
      <c r="C155" s="11">
        <v>0.18</v>
      </c>
      <c r="D155" s="11">
        <v>0</v>
      </c>
      <c r="E155" s="11">
        <v>1</v>
      </c>
      <c r="F155" s="11">
        <v>-0.63400000000000001</v>
      </c>
      <c r="G155" s="11">
        <v>6</v>
      </c>
      <c r="H155" s="11">
        <v>1</v>
      </c>
      <c r="I155" s="11">
        <v>1.89E-3</v>
      </c>
      <c r="J155" s="11">
        <v>1</v>
      </c>
    </row>
    <row r="156" spans="1:10" x14ac:dyDescent="0.45">
      <c r="A156" s="11">
        <v>142</v>
      </c>
      <c r="B156" s="11" t="s">
        <v>1060</v>
      </c>
      <c r="C156" s="11">
        <v>0.18</v>
      </c>
      <c r="D156" s="11">
        <v>0</v>
      </c>
      <c r="E156" s="11">
        <v>1</v>
      </c>
      <c r="F156" s="11">
        <v>-0.63400000000000001</v>
      </c>
      <c r="G156" s="11">
        <v>6</v>
      </c>
      <c r="H156" s="11">
        <v>1</v>
      </c>
      <c r="I156" s="11">
        <v>5.0939999999999999E-2</v>
      </c>
      <c r="J156" s="11">
        <v>1</v>
      </c>
    </row>
    <row r="157" spans="1:10" x14ac:dyDescent="0.45">
      <c r="A157" s="11">
        <v>143</v>
      </c>
      <c r="B157" s="11" t="s">
        <v>1061</v>
      </c>
      <c r="C157" s="11">
        <v>0.18</v>
      </c>
      <c r="D157" s="11">
        <v>0</v>
      </c>
      <c r="E157" s="11">
        <v>1</v>
      </c>
      <c r="F157" s="11">
        <v>-0.63400000000000001</v>
      </c>
      <c r="G157" s="11">
        <v>6</v>
      </c>
      <c r="H157" s="11">
        <v>1</v>
      </c>
      <c r="I157" s="11">
        <v>5.0939999999999999E-2</v>
      </c>
      <c r="J157" s="11">
        <v>1</v>
      </c>
    </row>
    <row r="158" spans="1:10" x14ac:dyDescent="0.45">
      <c r="A158" s="11">
        <v>144</v>
      </c>
      <c r="B158" s="11" t="s">
        <v>1062</v>
      </c>
      <c r="C158" s="11">
        <v>0.18</v>
      </c>
      <c r="D158" s="11">
        <v>0</v>
      </c>
      <c r="E158" s="11">
        <v>1</v>
      </c>
      <c r="F158" s="11">
        <v>-0.63400000000000001</v>
      </c>
      <c r="G158" s="11">
        <v>6</v>
      </c>
      <c r="H158" s="11">
        <v>1</v>
      </c>
      <c r="I158" s="11">
        <v>9.6699999999999998E-3</v>
      </c>
      <c r="J158" s="11">
        <v>1</v>
      </c>
    </row>
    <row r="159" spans="1:10" x14ac:dyDescent="0.45">
      <c r="A159" s="11">
        <v>145</v>
      </c>
      <c r="B159" s="11" t="s">
        <v>1063</v>
      </c>
      <c r="C159" s="11">
        <v>0.18</v>
      </c>
      <c r="D159" s="11">
        <v>0</v>
      </c>
      <c r="E159" s="11">
        <v>1</v>
      </c>
      <c r="F159" s="11">
        <v>-0.63400000000000001</v>
      </c>
      <c r="G159" s="11">
        <v>6</v>
      </c>
      <c r="H159" s="11">
        <v>1</v>
      </c>
      <c r="I159" s="11">
        <v>9.6699999999999998E-3</v>
      </c>
      <c r="J159" s="11">
        <v>1</v>
      </c>
    </row>
    <row r="160" spans="1:10" x14ac:dyDescent="0.45">
      <c r="A160" s="11">
        <v>146</v>
      </c>
      <c r="B160" s="11" t="s">
        <v>1064</v>
      </c>
      <c r="C160" s="11">
        <v>0.18</v>
      </c>
      <c r="D160" s="11">
        <v>0</v>
      </c>
      <c r="E160" s="11">
        <v>0</v>
      </c>
      <c r="F160" s="11">
        <v>-0.63400000000000001</v>
      </c>
      <c r="G160" s="11">
        <v>6</v>
      </c>
      <c r="H160" s="11">
        <v>1</v>
      </c>
      <c r="I160" s="11">
        <v>0</v>
      </c>
      <c r="J160" s="11">
        <v>1</v>
      </c>
    </row>
    <row r="161" spans="1:10" x14ac:dyDescent="0.45">
      <c r="A161" s="11">
        <v>147</v>
      </c>
      <c r="B161" s="11" t="s">
        <v>1065</v>
      </c>
      <c r="C161" s="11">
        <v>0.18</v>
      </c>
      <c r="D161" s="11">
        <v>0</v>
      </c>
      <c r="E161" s="11">
        <v>1</v>
      </c>
      <c r="F161" s="11">
        <v>-0.63400000000000001</v>
      </c>
      <c r="G161" s="11">
        <v>6</v>
      </c>
      <c r="H161" s="11">
        <v>1</v>
      </c>
      <c r="I161" s="11">
        <v>1.883E-2</v>
      </c>
      <c r="J161" s="11">
        <v>1</v>
      </c>
    </row>
    <row r="162" spans="1:10" x14ac:dyDescent="0.45">
      <c r="A162" s="11">
        <v>148</v>
      </c>
      <c r="B162" s="11" t="s">
        <v>1066</v>
      </c>
      <c r="C162" s="11">
        <v>0.18</v>
      </c>
      <c r="D162" s="11">
        <v>0</v>
      </c>
      <c r="E162" s="11">
        <v>1</v>
      </c>
      <c r="F162" s="11">
        <v>-0.63400000000000001</v>
      </c>
      <c r="G162" s="11">
        <v>6</v>
      </c>
      <c r="H162" s="11">
        <v>1</v>
      </c>
      <c r="I162" s="11">
        <v>1.7090000000000001E-2</v>
      </c>
      <c r="J162" s="11">
        <v>1</v>
      </c>
    </row>
    <row r="163" spans="1:10" x14ac:dyDescent="0.45">
      <c r="A163" s="11">
        <v>149</v>
      </c>
      <c r="B163" s="11" t="s">
        <v>1067</v>
      </c>
      <c r="C163" s="11">
        <v>0.18</v>
      </c>
      <c r="D163" s="11">
        <v>0</v>
      </c>
      <c r="E163" s="11">
        <v>1</v>
      </c>
      <c r="F163" s="11">
        <v>-0.63400000000000001</v>
      </c>
      <c r="G163" s="11">
        <v>6</v>
      </c>
      <c r="H163" s="11">
        <v>1</v>
      </c>
      <c r="I163" s="11">
        <v>1.7090000000000001E-2</v>
      </c>
      <c r="J163" s="11">
        <v>1</v>
      </c>
    </row>
    <row r="164" spans="1:10" x14ac:dyDescent="0.45">
      <c r="A164" s="11">
        <v>150</v>
      </c>
      <c r="B164" s="11" t="s">
        <v>1068</v>
      </c>
      <c r="C164" s="11">
        <v>0.18</v>
      </c>
      <c r="D164" s="11">
        <v>0</v>
      </c>
      <c r="E164" s="11">
        <v>1</v>
      </c>
      <c r="F164" s="11">
        <v>-0.63400000000000001</v>
      </c>
      <c r="G164" s="11">
        <v>6</v>
      </c>
      <c r="H164" s="11">
        <v>1</v>
      </c>
      <c r="I164" s="11">
        <v>1.883E-2</v>
      </c>
      <c r="J164" s="11">
        <v>1</v>
      </c>
    </row>
    <row r="165" spans="1:10" x14ac:dyDescent="0.45">
      <c r="A165" s="11">
        <v>151</v>
      </c>
      <c r="B165" s="11" t="s">
        <v>1069</v>
      </c>
      <c r="C165" s="11">
        <v>0.18</v>
      </c>
      <c r="D165" s="11">
        <v>0</v>
      </c>
      <c r="E165" s="11">
        <v>1</v>
      </c>
      <c r="F165" s="11">
        <v>-0.63400000000000001</v>
      </c>
      <c r="G165" s="11">
        <v>6</v>
      </c>
      <c r="H165" s="11">
        <v>1</v>
      </c>
      <c r="I165" s="11">
        <v>1.89E-3</v>
      </c>
      <c r="J165" s="11">
        <v>1</v>
      </c>
    </row>
    <row r="166" spans="1:10" x14ac:dyDescent="0.45">
      <c r="A166" s="11">
        <v>152</v>
      </c>
      <c r="B166" s="11" t="s">
        <v>1070</v>
      </c>
      <c r="C166" s="11">
        <v>0.18</v>
      </c>
      <c r="D166" s="11">
        <v>0</v>
      </c>
      <c r="E166" s="11">
        <v>1</v>
      </c>
      <c r="F166" s="11">
        <v>-0.63400000000000001</v>
      </c>
      <c r="G166" s="11">
        <v>6</v>
      </c>
      <c r="H166" s="11">
        <v>1</v>
      </c>
      <c r="I166" s="11">
        <v>4.1700000000000001E-3</v>
      </c>
      <c r="J166" s="11">
        <v>1</v>
      </c>
    </row>
    <row r="167" spans="1:10" x14ac:dyDescent="0.45">
      <c r="A167" s="11">
        <v>153</v>
      </c>
      <c r="B167" s="11" t="s">
        <v>1071</v>
      </c>
      <c r="C167" s="11">
        <v>0.18</v>
      </c>
      <c r="D167" s="11">
        <v>0</v>
      </c>
      <c r="E167" s="11">
        <v>1</v>
      </c>
      <c r="F167" s="11">
        <v>-0.63400000000000001</v>
      </c>
      <c r="G167" s="11">
        <v>6</v>
      </c>
      <c r="H167" s="11">
        <v>1</v>
      </c>
      <c r="I167" s="11">
        <v>6.8379999999999996E-2</v>
      </c>
      <c r="J167" s="11">
        <v>1</v>
      </c>
    </row>
    <row r="168" spans="1:10" x14ac:dyDescent="0.45">
      <c r="A168" s="11">
        <v>154</v>
      </c>
      <c r="B168" s="11" t="s">
        <v>1072</v>
      </c>
      <c r="C168" s="11">
        <v>0.18</v>
      </c>
      <c r="D168" s="11">
        <v>0</v>
      </c>
      <c r="E168" s="11">
        <v>1</v>
      </c>
      <c r="F168" s="11">
        <v>-0.63400000000000001</v>
      </c>
      <c r="G168" s="11">
        <v>6</v>
      </c>
      <c r="H168" s="11">
        <v>1</v>
      </c>
      <c r="I168" s="11">
        <v>0.17848</v>
      </c>
      <c r="J168" s="11">
        <v>1</v>
      </c>
    </row>
    <row r="169" spans="1:10" x14ac:dyDescent="0.45">
      <c r="A169" s="11">
        <v>155</v>
      </c>
      <c r="B169" s="11" t="s">
        <v>1073</v>
      </c>
      <c r="C169" s="11">
        <v>0.18</v>
      </c>
      <c r="D169" s="11">
        <v>0</v>
      </c>
      <c r="E169" s="11">
        <v>1</v>
      </c>
      <c r="F169" s="11">
        <v>-0.63400000000000001</v>
      </c>
      <c r="G169" s="11">
        <v>6</v>
      </c>
      <c r="H169" s="11">
        <v>1</v>
      </c>
      <c r="I169" s="11">
        <v>1.6629999999999999E-2</v>
      </c>
      <c r="J169" s="11">
        <v>1</v>
      </c>
    </row>
    <row r="170" spans="1:10" x14ac:dyDescent="0.45">
      <c r="A170" s="11">
        <v>156</v>
      </c>
      <c r="B170" s="11" t="s">
        <v>1074</v>
      </c>
      <c r="C170" s="11">
        <v>0.18</v>
      </c>
      <c r="D170" s="11">
        <v>0</v>
      </c>
      <c r="E170" s="11">
        <v>1</v>
      </c>
      <c r="F170" s="11">
        <v>-0.63400000000000001</v>
      </c>
      <c r="G170" s="11">
        <v>6</v>
      </c>
      <c r="H170" s="11">
        <v>1</v>
      </c>
      <c r="I170" s="11">
        <v>1.6629999999999999E-2</v>
      </c>
      <c r="J170" s="11">
        <v>1</v>
      </c>
    </row>
    <row r="171" spans="1:10" x14ac:dyDescent="0.45">
      <c r="A171" s="11">
        <v>157</v>
      </c>
      <c r="B171" s="11" t="s">
        <v>1075</v>
      </c>
      <c r="C171" s="11">
        <v>0.18</v>
      </c>
      <c r="D171" s="11">
        <v>0</v>
      </c>
      <c r="E171" s="11">
        <v>1</v>
      </c>
      <c r="F171" s="11">
        <v>-0.63400000000000001</v>
      </c>
      <c r="G171" s="11">
        <v>6</v>
      </c>
      <c r="H171" s="11">
        <v>1</v>
      </c>
      <c r="I171" s="11">
        <v>8.3800000000000003E-3</v>
      </c>
      <c r="J171" s="11">
        <v>1</v>
      </c>
    </row>
    <row r="172" spans="1:10" x14ac:dyDescent="0.45">
      <c r="A172" s="11">
        <v>158</v>
      </c>
      <c r="B172" s="11" t="s">
        <v>1076</v>
      </c>
      <c r="C172" s="11">
        <v>0.18</v>
      </c>
      <c r="D172" s="11">
        <v>0</v>
      </c>
      <c r="E172" s="11">
        <v>1</v>
      </c>
      <c r="F172" s="11">
        <v>-0.63400000000000001</v>
      </c>
      <c r="G172" s="11">
        <v>6</v>
      </c>
      <c r="H172" s="11">
        <v>1</v>
      </c>
      <c r="I172" s="11">
        <v>0.19642999999999999</v>
      </c>
      <c r="J172" s="11">
        <v>1</v>
      </c>
    </row>
    <row r="173" spans="1:10" x14ac:dyDescent="0.45">
      <c r="A173" s="11">
        <v>159</v>
      </c>
      <c r="B173" s="11" t="s">
        <v>1077</v>
      </c>
      <c r="C173" s="11">
        <v>0.18</v>
      </c>
      <c r="D173" s="11">
        <v>0</v>
      </c>
      <c r="E173" s="11">
        <v>1</v>
      </c>
      <c r="F173" s="11">
        <v>-0.63400000000000001</v>
      </c>
      <c r="G173" s="11">
        <v>6</v>
      </c>
      <c r="H173" s="11">
        <v>1</v>
      </c>
      <c r="I173" s="11">
        <v>1.01E-3</v>
      </c>
      <c r="J173" s="11">
        <v>1</v>
      </c>
    </row>
    <row r="174" spans="1:10" x14ac:dyDescent="0.45">
      <c r="A174" s="11">
        <v>160</v>
      </c>
      <c r="B174" s="11" t="s">
        <v>1078</v>
      </c>
      <c r="C174" s="11">
        <v>0.18</v>
      </c>
      <c r="D174" s="11">
        <v>0</v>
      </c>
      <c r="E174" s="11">
        <v>1</v>
      </c>
      <c r="F174" s="11">
        <v>-0.63400000000000001</v>
      </c>
      <c r="G174" s="11">
        <v>6</v>
      </c>
      <c r="H174" s="11">
        <v>1</v>
      </c>
      <c r="I174" s="11">
        <v>0.19769999999999999</v>
      </c>
      <c r="J174" s="11">
        <v>1</v>
      </c>
    </row>
    <row r="175" spans="1:10" x14ac:dyDescent="0.45">
      <c r="A175" s="11">
        <v>161</v>
      </c>
      <c r="B175" s="11" t="s">
        <v>1079</v>
      </c>
      <c r="C175" s="11">
        <v>0.18</v>
      </c>
      <c r="D175" s="11">
        <v>0</v>
      </c>
      <c r="E175" s="11">
        <v>1</v>
      </c>
      <c r="F175" s="11">
        <v>-0.63400000000000001</v>
      </c>
      <c r="G175" s="11">
        <v>6</v>
      </c>
      <c r="H175" s="11">
        <v>1</v>
      </c>
      <c r="I175" s="11">
        <v>3.168E-2</v>
      </c>
      <c r="J175" s="11">
        <v>1</v>
      </c>
    </row>
    <row r="176" spans="1:10" x14ac:dyDescent="0.45">
      <c r="A176" s="11">
        <v>162</v>
      </c>
      <c r="B176" s="11" t="s">
        <v>1080</v>
      </c>
      <c r="C176" s="11">
        <v>0.18</v>
      </c>
      <c r="D176" s="11">
        <v>0</v>
      </c>
      <c r="E176" s="11">
        <v>1</v>
      </c>
      <c r="F176" s="11">
        <v>-0.63400000000000001</v>
      </c>
      <c r="G176" s="11">
        <v>6</v>
      </c>
      <c r="H176" s="11">
        <v>1</v>
      </c>
      <c r="I176" s="11">
        <v>0.15254000000000001</v>
      </c>
      <c r="J176" s="11">
        <v>1</v>
      </c>
    </row>
    <row r="177" spans="1:10" x14ac:dyDescent="0.45">
      <c r="A177" s="11">
        <v>163</v>
      </c>
      <c r="B177" s="11" t="s">
        <v>1081</v>
      </c>
      <c r="C177" s="11">
        <v>0.18</v>
      </c>
      <c r="D177" s="11">
        <v>0</v>
      </c>
      <c r="E177" s="11">
        <v>1</v>
      </c>
      <c r="F177" s="11">
        <v>-0.63400000000000001</v>
      </c>
      <c r="G177" s="11">
        <v>6</v>
      </c>
      <c r="H177" s="11">
        <v>1</v>
      </c>
      <c r="I177" s="11">
        <v>0.19769999999999999</v>
      </c>
      <c r="J177" s="11">
        <v>1</v>
      </c>
    </row>
    <row r="178" spans="1:10" x14ac:dyDescent="0.45">
      <c r="A178" s="11">
        <v>164</v>
      </c>
      <c r="B178" s="11" t="s">
        <v>1082</v>
      </c>
      <c r="C178" s="11">
        <v>0.18</v>
      </c>
      <c r="D178" s="11">
        <v>0</v>
      </c>
      <c r="E178" s="11">
        <v>0</v>
      </c>
      <c r="F178" s="11">
        <v>-1.5879000000000001</v>
      </c>
      <c r="G178" s="11">
        <v>6</v>
      </c>
      <c r="H178" s="11">
        <v>1</v>
      </c>
      <c r="I178" s="11">
        <v>0</v>
      </c>
      <c r="J178" s="11">
        <v>1</v>
      </c>
    </row>
    <row r="179" spans="1:10" x14ac:dyDescent="0.45">
      <c r="A179" s="11">
        <v>165</v>
      </c>
      <c r="B179" s="11" t="s">
        <v>1083</v>
      </c>
      <c r="C179" s="11">
        <v>0.18</v>
      </c>
      <c r="D179" s="11">
        <v>0</v>
      </c>
      <c r="E179" s="11">
        <v>1</v>
      </c>
      <c r="F179" s="11">
        <v>-1.5879000000000001</v>
      </c>
      <c r="G179" s="11">
        <v>6</v>
      </c>
      <c r="H179" s="11">
        <v>1</v>
      </c>
      <c r="I179" s="11">
        <v>0.20999000000000001</v>
      </c>
      <c r="J179" s="11">
        <v>1</v>
      </c>
    </row>
    <row r="180" spans="1:10" x14ac:dyDescent="0.45">
      <c r="A180" s="11">
        <v>169</v>
      </c>
      <c r="B180" s="11" t="s">
        <v>1084</v>
      </c>
      <c r="C180" s="11">
        <v>0</v>
      </c>
      <c r="D180" s="11">
        <v>1</v>
      </c>
      <c r="E180" s="11">
        <v>1</v>
      </c>
      <c r="F180" s="11">
        <v>-0.434</v>
      </c>
      <c r="G180" s="11">
        <v>6</v>
      </c>
      <c r="H180" s="11">
        <v>0</v>
      </c>
      <c r="I180" s="11">
        <v>0.20698</v>
      </c>
      <c r="J180" s="11">
        <v>1</v>
      </c>
    </row>
    <row r="181" spans="1:10" x14ac:dyDescent="0.45">
      <c r="A181" s="11">
        <v>170</v>
      </c>
      <c r="B181" s="11" t="s">
        <v>1085</v>
      </c>
      <c r="C181" s="11">
        <v>0</v>
      </c>
      <c r="D181" s="11">
        <v>1</v>
      </c>
      <c r="E181" s="11">
        <v>1</v>
      </c>
      <c r="F181" s="11">
        <v>-0.63600000000000001</v>
      </c>
      <c r="G181" s="11">
        <v>2</v>
      </c>
      <c r="H181" s="11">
        <v>0</v>
      </c>
      <c r="I181" s="73">
        <v>8.8999999999999995E-6</v>
      </c>
      <c r="J181" s="11">
        <v>1</v>
      </c>
    </row>
    <row r="182" spans="1:10" x14ac:dyDescent="0.45">
      <c r="A182" s="11">
        <v>171</v>
      </c>
      <c r="B182" s="11" t="s">
        <v>1086</v>
      </c>
      <c r="C182" s="11">
        <v>0</v>
      </c>
      <c r="D182" s="11">
        <v>1</v>
      </c>
      <c r="E182" s="11">
        <v>1</v>
      </c>
      <c r="F182" s="11">
        <v>-0.63600000000000001</v>
      </c>
      <c r="G182" s="11">
        <v>2</v>
      </c>
      <c r="H182" s="11">
        <v>0</v>
      </c>
      <c r="I182" s="11">
        <v>3.0699999999999998E-3</v>
      </c>
      <c r="J182" s="11">
        <v>1</v>
      </c>
    </row>
    <row r="183" spans="1:10" x14ac:dyDescent="0.45">
      <c r="A183" s="11">
        <v>172</v>
      </c>
      <c r="B183" s="11" t="s">
        <v>1087</v>
      </c>
      <c r="C183" s="11">
        <v>0</v>
      </c>
      <c r="D183" s="11">
        <v>1</v>
      </c>
      <c r="E183" s="11">
        <v>1</v>
      </c>
      <c r="F183" s="11">
        <v>-0.63600000000000001</v>
      </c>
      <c r="G183" s="11">
        <v>4</v>
      </c>
      <c r="H183" s="11">
        <v>0</v>
      </c>
      <c r="I183" s="73">
        <v>6.1999999999999999E-6</v>
      </c>
      <c r="J183" s="11">
        <v>1</v>
      </c>
    </row>
    <row r="184" spans="1:10" x14ac:dyDescent="0.45">
      <c r="A184" s="11">
        <v>173</v>
      </c>
      <c r="B184" s="11" t="s">
        <v>1088</v>
      </c>
      <c r="C184" s="11">
        <v>0</v>
      </c>
      <c r="D184" s="11">
        <v>1</v>
      </c>
      <c r="E184" s="11">
        <v>1</v>
      </c>
      <c r="F184" s="11">
        <v>-0.63600000000000001</v>
      </c>
      <c r="G184" s="11">
        <v>2</v>
      </c>
      <c r="H184" s="11">
        <v>0</v>
      </c>
      <c r="I184" s="73">
        <v>6.1999999999999999E-6</v>
      </c>
      <c r="J184" s="11">
        <v>1</v>
      </c>
    </row>
    <row r="185" spans="1:10" x14ac:dyDescent="0.45">
      <c r="A185" s="11">
        <v>174</v>
      </c>
      <c r="B185" s="11" t="s">
        <v>1089</v>
      </c>
      <c r="C185" s="11">
        <v>0</v>
      </c>
      <c r="D185" s="11">
        <v>1</v>
      </c>
      <c r="E185" s="11">
        <v>1</v>
      </c>
      <c r="F185" s="11">
        <v>-0.70099999999999996</v>
      </c>
      <c r="G185" s="11">
        <v>2</v>
      </c>
      <c r="H185" s="11">
        <v>1</v>
      </c>
      <c r="I185" s="11">
        <v>8.2189999999999999E-2</v>
      </c>
      <c r="J185" s="11">
        <v>1</v>
      </c>
    </row>
    <row r="186" spans="1:10" x14ac:dyDescent="0.45">
      <c r="A186" s="11">
        <v>175</v>
      </c>
      <c r="B186" s="11" t="s">
        <v>1090</v>
      </c>
      <c r="C186" s="11">
        <v>0.18</v>
      </c>
      <c r="D186" s="11">
        <v>0</v>
      </c>
      <c r="E186" s="11">
        <v>0</v>
      </c>
      <c r="F186" s="11">
        <v>-0.44800000000000001</v>
      </c>
      <c r="G186" s="11">
        <v>6</v>
      </c>
      <c r="H186" s="11">
        <v>1</v>
      </c>
      <c r="I186" s="11">
        <v>0</v>
      </c>
      <c r="J186" s="11">
        <v>1</v>
      </c>
    </row>
    <row r="187" spans="1:10" x14ac:dyDescent="0.45">
      <c r="A187" s="11">
        <v>176</v>
      </c>
      <c r="B187" s="11" t="s">
        <v>1091</v>
      </c>
      <c r="C187" s="11">
        <v>0.18</v>
      </c>
      <c r="D187" s="11">
        <v>0</v>
      </c>
      <c r="E187" s="11">
        <v>0</v>
      </c>
      <c r="F187" s="11">
        <v>-0.51900000000000002</v>
      </c>
      <c r="G187" s="11">
        <v>6</v>
      </c>
      <c r="H187" s="11">
        <v>0</v>
      </c>
      <c r="I187" s="11">
        <v>0</v>
      </c>
      <c r="J187" s="11">
        <v>1</v>
      </c>
    </row>
    <row r="188" spans="1:10" x14ac:dyDescent="0.45">
      <c r="A188" s="11">
        <v>177</v>
      </c>
      <c r="B188" s="11" t="s">
        <v>1092</v>
      </c>
      <c r="C188" s="11">
        <v>0</v>
      </c>
      <c r="D188" s="11">
        <v>1</v>
      </c>
      <c r="E188" s="11">
        <v>1</v>
      </c>
      <c r="F188" s="11">
        <v>-0.51900000000000002</v>
      </c>
      <c r="G188" s="11">
        <v>1</v>
      </c>
      <c r="H188" s="11">
        <v>0</v>
      </c>
      <c r="I188" s="11">
        <v>3.705E-2</v>
      </c>
      <c r="J188" s="11">
        <v>1</v>
      </c>
    </row>
    <row r="189" spans="1:10" x14ac:dyDescent="0.45">
      <c r="A189" s="11">
        <v>178</v>
      </c>
      <c r="B189" s="11" t="s">
        <v>1093</v>
      </c>
      <c r="C189" s="11">
        <v>0.18</v>
      </c>
      <c r="D189" s="11">
        <v>0</v>
      </c>
      <c r="E189" s="11">
        <v>1</v>
      </c>
      <c r="F189" s="11">
        <v>-0.51900000000000002</v>
      </c>
      <c r="G189" s="11">
        <v>6</v>
      </c>
      <c r="H189" s="11">
        <v>1</v>
      </c>
      <c r="I189" s="73">
        <v>1.7999999999999999E-6</v>
      </c>
      <c r="J189" s="11">
        <v>1</v>
      </c>
    </row>
    <row r="190" spans="1:10" x14ac:dyDescent="0.45">
      <c r="A190" s="11">
        <v>179</v>
      </c>
      <c r="B190" s="11" t="s">
        <v>1094</v>
      </c>
      <c r="C190" s="11">
        <v>0</v>
      </c>
      <c r="D190" s="11">
        <v>1</v>
      </c>
      <c r="E190" s="11">
        <v>1</v>
      </c>
      <c r="F190" s="11">
        <v>-0.73899999999999999</v>
      </c>
      <c r="G190" s="11">
        <v>4</v>
      </c>
      <c r="H190" s="11">
        <v>1</v>
      </c>
      <c r="I190" s="11">
        <v>4.5100000000000001E-3</v>
      </c>
      <c r="J190" s="11">
        <v>0.5</v>
      </c>
    </row>
    <row r="191" spans="1:10" x14ac:dyDescent="0.45">
      <c r="A191" s="11">
        <v>179</v>
      </c>
      <c r="B191" s="11" t="s">
        <v>1094</v>
      </c>
      <c r="C191" s="11">
        <v>0</v>
      </c>
      <c r="D191" s="11">
        <v>1</v>
      </c>
      <c r="E191" s="11">
        <v>1</v>
      </c>
      <c r="F191" s="11">
        <v>-0.73899999999999999</v>
      </c>
      <c r="G191" s="11">
        <v>6</v>
      </c>
      <c r="H191" s="11">
        <v>1</v>
      </c>
      <c r="I191" s="11">
        <v>4.5100000000000001E-3</v>
      </c>
      <c r="J191" s="11">
        <v>0.5</v>
      </c>
    </row>
    <row r="192" spans="1:10" x14ac:dyDescent="0.45">
      <c r="A192" s="11">
        <v>180</v>
      </c>
      <c r="B192" s="11" t="s">
        <v>1095</v>
      </c>
      <c r="C192" s="11">
        <v>0.18</v>
      </c>
      <c r="D192" s="11">
        <v>0</v>
      </c>
      <c r="E192" s="11">
        <v>1</v>
      </c>
      <c r="F192" s="11">
        <v>-0.63400000000000001</v>
      </c>
      <c r="G192" s="11">
        <v>6</v>
      </c>
      <c r="H192" s="11">
        <v>1</v>
      </c>
      <c r="I192" s="11">
        <v>8.3800000000000003E-3</v>
      </c>
      <c r="J192" s="11">
        <v>1</v>
      </c>
    </row>
    <row r="193" spans="1:10" x14ac:dyDescent="0.45">
      <c r="A193" s="11">
        <v>191</v>
      </c>
      <c r="B193" s="11" t="s">
        <v>1096</v>
      </c>
      <c r="C193" s="11">
        <v>0.1</v>
      </c>
      <c r="D193" s="11">
        <v>0</v>
      </c>
      <c r="E193" s="11">
        <v>0</v>
      </c>
      <c r="F193" s="11">
        <v>-1.4570000000000001</v>
      </c>
      <c r="G193" s="11">
        <v>19</v>
      </c>
      <c r="H193" s="11">
        <v>1</v>
      </c>
      <c r="I193" s="11">
        <v>0</v>
      </c>
      <c r="J193" s="11">
        <v>1</v>
      </c>
    </row>
    <row r="194" spans="1:10" x14ac:dyDescent="0.45">
      <c r="A194" s="11">
        <v>192</v>
      </c>
      <c r="B194" s="11" t="s">
        <v>1097</v>
      </c>
      <c r="C194" s="11">
        <v>0.1</v>
      </c>
      <c r="D194" s="11">
        <v>0</v>
      </c>
      <c r="E194" s="11">
        <v>0</v>
      </c>
      <c r="F194" s="11">
        <v>-1.4570000000000001</v>
      </c>
      <c r="G194" s="11">
        <v>19</v>
      </c>
      <c r="H194" s="11">
        <v>1</v>
      </c>
      <c r="I194" s="11">
        <v>0</v>
      </c>
      <c r="J194" s="11">
        <v>1</v>
      </c>
    </row>
    <row r="195" spans="1:10" x14ac:dyDescent="0.45">
      <c r="A195" s="11">
        <v>193</v>
      </c>
      <c r="B195" s="11" t="s">
        <v>1098</v>
      </c>
      <c r="C195" s="11">
        <v>0.1</v>
      </c>
      <c r="D195" s="11">
        <v>0</v>
      </c>
      <c r="E195" s="11">
        <v>0</v>
      </c>
      <c r="F195" s="11">
        <v>-1.4570000000000001</v>
      </c>
      <c r="G195" s="11">
        <v>19</v>
      </c>
      <c r="H195" s="11">
        <v>1</v>
      </c>
      <c r="I195" s="11">
        <v>0</v>
      </c>
      <c r="J195" s="11">
        <v>1</v>
      </c>
    </row>
    <row r="196" spans="1:10" x14ac:dyDescent="0.45">
      <c r="A196" s="11">
        <v>194</v>
      </c>
      <c r="B196" s="11" t="s">
        <v>1099</v>
      </c>
      <c r="C196" s="11">
        <v>0.1</v>
      </c>
      <c r="D196" s="11">
        <v>0</v>
      </c>
      <c r="E196" s="11">
        <v>0</v>
      </c>
      <c r="F196" s="11">
        <v>-1.4570000000000001</v>
      </c>
      <c r="G196" s="11">
        <v>19</v>
      </c>
      <c r="H196" s="11">
        <v>1</v>
      </c>
      <c r="I196" s="11">
        <v>0</v>
      </c>
      <c r="J196" s="11">
        <v>1</v>
      </c>
    </row>
    <row r="197" spans="1:10" x14ac:dyDescent="0.45">
      <c r="A197" s="11">
        <v>195</v>
      </c>
      <c r="B197" s="11" t="s">
        <v>1100</v>
      </c>
      <c r="C197" s="11">
        <v>0.1</v>
      </c>
      <c r="D197" s="11">
        <v>0</v>
      </c>
      <c r="E197" s="11">
        <v>0</v>
      </c>
      <c r="F197" s="11">
        <v>-1.4570000000000001</v>
      </c>
      <c r="G197" s="11">
        <v>6</v>
      </c>
      <c r="H197" s="11">
        <v>1</v>
      </c>
      <c r="I197" s="11">
        <v>0</v>
      </c>
      <c r="J197" s="11">
        <v>0.5</v>
      </c>
    </row>
    <row r="198" spans="1:10" x14ac:dyDescent="0.45">
      <c r="A198" s="11">
        <v>195</v>
      </c>
      <c r="B198" s="11" t="s">
        <v>1100</v>
      </c>
      <c r="C198" s="11">
        <v>0.1</v>
      </c>
      <c r="D198" s="11">
        <v>0</v>
      </c>
      <c r="E198" s="11">
        <v>0</v>
      </c>
      <c r="F198" s="11">
        <v>-1.4570000000000001</v>
      </c>
      <c r="G198" s="11">
        <v>19</v>
      </c>
      <c r="H198" s="11">
        <v>1</v>
      </c>
      <c r="I198" s="11">
        <v>0</v>
      </c>
      <c r="J198" s="11">
        <v>0.5</v>
      </c>
    </row>
    <row r="199" spans="1:10" x14ac:dyDescent="0.45">
      <c r="A199" s="11">
        <v>196</v>
      </c>
      <c r="B199" s="11" t="s">
        <v>1101</v>
      </c>
      <c r="C199" s="11">
        <v>0.1</v>
      </c>
      <c r="D199" s="11">
        <v>0</v>
      </c>
      <c r="E199" s="11">
        <v>0</v>
      </c>
      <c r="F199" s="11">
        <v>-1.4570000000000001</v>
      </c>
      <c r="G199" s="11">
        <v>6</v>
      </c>
      <c r="H199" s="11">
        <v>1</v>
      </c>
      <c r="I199" s="11">
        <v>0</v>
      </c>
      <c r="J199" s="11">
        <v>0.5</v>
      </c>
    </row>
    <row r="200" spans="1:10" x14ac:dyDescent="0.45">
      <c r="A200" s="11">
        <v>196</v>
      </c>
      <c r="B200" s="11" t="s">
        <v>1101</v>
      </c>
      <c r="C200" s="11">
        <v>0.1</v>
      </c>
      <c r="D200" s="11">
        <v>0</v>
      </c>
      <c r="E200" s="11">
        <v>0</v>
      </c>
      <c r="F200" s="11">
        <v>-1.4570000000000001</v>
      </c>
      <c r="G200" s="11">
        <v>19</v>
      </c>
      <c r="H200" s="11">
        <v>1</v>
      </c>
      <c r="I200" s="11">
        <v>0</v>
      </c>
      <c r="J200" s="11">
        <v>0.5</v>
      </c>
    </row>
    <row r="201" spans="1:10" x14ac:dyDescent="0.45">
      <c r="A201" s="11">
        <v>197</v>
      </c>
      <c r="B201" s="11" t="s">
        <v>1102</v>
      </c>
      <c r="C201" s="11">
        <v>0.18</v>
      </c>
      <c r="D201" s="11">
        <v>0</v>
      </c>
      <c r="E201" s="11">
        <v>0</v>
      </c>
      <c r="F201" s="11">
        <v>-1.4570000000000001</v>
      </c>
      <c r="G201" s="11">
        <v>6</v>
      </c>
      <c r="H201" s="11">
        <v>1</v>
      </c>
      <c r="I201" s="11">
        <v>0</v>
      </c>
      <c r="J201" s="11">
        <v>0.5</v>
      </c>
    </row>
    <row r="202" spans="1:10" x14ac:dyDescent="0.45">
      <c r="A202" s="11">
        <v>197</v>
      </c>
      <c r="B202" s="11" t="s">
        <v>1102</v>
      </c>
      <c r="C202" s="11">
        <v>0.18</v>
      </c>
      <c r="D202" s="11">
        <v>0</v>
      </c>
      <c r="E202" s="11">
        <v>0</v>
      </c>
      <c r="F202" s="11">
        <v>-1.4570000000000001</v>
      </c>
      <c r="G202" s="11">
        <v>19</v>
      </c>
      <c r="H202" s="11">
        <v>1</v>
      </c>
      <c r="I202" s="11">
        <v>0</v>
      </c>
      <c r="J202" s="11">
        <v>0.5</v>
      </c>
    </row>
    <row r="203" spans="1:10" x14ac:dyDescent="0.45">
      <c r="A203" s="11">
        <v>201</v>
      </c>
      <c r="B203" s="11" t="s">
        <v>1103</v>
      </c>
      <c r="C203" s="11">
        <v>0.18</v>
      </c>
      <c r="D203" s="11">
        <v>0</v>
      </c>
      <c r="E203" s="11">
        <v>1</v>
      </c>
      <c r="F203" s="11">
        <v>-1.28</v>
      </c>
      <c r="G203" s="11">
        <v>6</v>
      </c>
      <c r="H203" s="11">
        <v>1</v>
      </c>
      <c r="I203" s="11">
        <v>9.6110000000000001E-2</v>
      </c>
      <c r="J203" s="11">
        <v>0.5</v>
      </c>
    </row>
    <row r="204" spans="1:10" x14ac:dyDescent="0.45">
      <c r="A204" s="11">
        <v>201</v>
      </c>
      <c r="B204" s="11" t="s">
        <v>1103</v>
      </c>
      <c r="C204" s="11">
        <v>0.18</v>
      </c>
      <c r="D204" s="11">
        <v>0</v>
      </c>
      <c r="E204" s="11">
        <v>1</v>
      </c>
      <c r="F204" s="11">
        <v>-1.28</v>
      </c>
      <c r="G204" s="11">
        <v>17</v>
      </c>
      <c r="H204" s="11">
        <v>1</v>
      </c>
      <c r="I204" s="11">
        <v>9.6110000000000001E-2</v>
      </c>
      <c r="J204" s="11">
        <v>0.5</v>
      </c>
    </row>
    <row r="205" spans="1:10" x14ac:dyDescent="0.45">
      <c r="A205" s="11">
        <v>202</v>
      </c>
      <c r="B205" s="11" t="s">
        <v>1104</v>
      </c>
      <c r="C205" s="11">
        <v>0.18</v>
      </c>
      <c r="D205" s="11">
        <v>0</v>
      </c>
      <c r="E205" s="11">
        <v>1</v>
      </c>
      <c r="F205" s="11">
        <v>-0.1212</v>
      </c>
      <c r="G205" s="11">
        <v>8</v>
      </c>
      <c r="H205" s="11">
        <v>1</v>
      </c>
      <c r="I205" s="11">
        <v>5.9900000000000002E-2</v>
      </c>
      <c r="J205" s="11">
        <v>1</v>
      </c>
    </row>
    <row r="206" spans="1:10" x14ac:dyDescent="0.45">
      <c r="A206" s="11">
        <v>203</v>
      </c>
      <c r="B206" s="11" t="s">
        <v>1105</v>
      </c>
      <c r="C206" s="11">
        <v>0.18</v>
      </c>
      <c r="D206" s="11">
        <v>0</v>
      </c>
      <c r="E206" s="11">
        <v>1</v>
      </c>
      <c r="F206" s="11">
        <v>-1.3540000000000001</v>
      </c>
      <c r="G206" s="11">
        <v>5</v>
      </c>
      <c r="H206" s="11">
        <v>1</v>
      </c>
      <c r="I206" s="11">
        <v>0.06</v>
      </c>
      <c r="J206" s="11">
        <v>1</v>
      </c>
    </row>
    <row r="207" spans="1:10" x14ac:dyDescent="0.45">
      <c r="A207" s="11">
        <v>204</v>
      </c>
      <c r="B207" s="11" t="s">
        <v>1106</v>
      </c>
      <c r="C207" s="11">
        <v>0.18</v>
      </c>
      <c r="D207" s="11">
        <v>0</v>
      </c>
      <c r="E207" s="11">
        <v>1</v>
      </c>
      <c r="F207" s="11">
        <v>-1.3540000000000001</v>
      </c>
      <c r="G207" s="11">
        <v>3</v>
      </c>
      <c r="H207" s="11">
        <v>1</v>
      </c>
      <c r="I207" s="11">
        <v>2.2000000000000001E-4</v>
      </c>
      <c r="J207" s="11">
        <v>1</v>
      </c>
    </row>
    <row r="208" spans="1:10" x14ac:dyDescent="0.45">
      <c r="A208" s="11">
        <v>205</v>
      </c>
      <c r="B208" s="11" t="s">
        <v>1107</v>
      </c>
      <c r="C208" s="11">
        <v>0</v>
      </c>
      <c r="D208" s="11">
        <v>1</v>
      </c>
      <c r="E208" s="11">
        <v>0</v>
      </c>
      <c r="F208" s="11">
        <v>-1.3540000000000001</v>
      </c>
      <c r="G208" s="11">
        <v>3</v>
      </c>
      <c r="H208" s="11">
        <v>0</v>
      </c>
      <c r="I208" s="11">
        <v>0</v>
      </c>
      <c r="J208" s="11">
        <v>1</v>
      </c>
    </row>
    <row r="209" spans="1:10" x14ac:dyDescent="0.45">
      <c r="A209" s="11">
        <v>206</v>
      </c>
      <c r="B209" s="11" t="s">
        <v>1108</v>
      </c>
      <c r="C209" s="11">
        <v>0.18</v>
      </c>
      <c r="D209" s="11">
        <v>0</v>
      </c>
      <c r="E209" s="11">
        <v>1</v>
      </c>
      <c r="F209" s="11">
        <v>-1.5411999999999999</v>
      </c>
      <c r="G209" s="11">
        <v>11</v>
      </c>
      <c r="H209" s="11">
        <v>1</v>
      </c>
      <c r="I209" s="11">
        <v>2.47E-3</v>
      </c>
      <c r="J209" s="11">
        <v>0.5</v>
      </c>
    </row>
    <row r="210" spans="1:10" x14ac:dyDescent="0.45">
      <c r="A210" s="11">
        <v>206</v>
      </c>
      <c r="B210" s="11" t="s">
        <v>1108</v>
      </c>
      <c r="C210" s="11">
        <v>0.18</v>
      </c>
      <c r="D210" s="11">
        <v>0</v>
      </c>
      <c r="E210" s="11">
        <v>1</v>
      </c>
      <c r="F210" s="11">
        <v>-1.5411999999999999</v>
      </c>
      <c r="G210" s="11">
        <v>17</v>
      </c>
      <c r="H210" s="11">
        <v>1</v>
      </c>
      <c r="I210" s="11">
        <v>2.47E-3</v>
      </c>
      <c r="J210" s="11">
        <v>0.5</v>
      </c>
    </row>
    <row r="211" spans="1:10" x14ac:dyDescent="0.45">
      <c r="A211" s="11">
        <v>207</v>
      </c>
      <c r="B211" s="11" t="s">
        <v>1109</v>
      </c>
      <c r="C211" s="11">
        <v>0.18</v>
      </c>
      <c r="D211" s="11">
        <v>0</v>
      </c>
      <c r="E211" s="11">
        <v>1</v>
      </c>
      <c r="F211" s="11">
        <v>-1.5411999999999999</v>
      </c>
      <c r="G211" s="11">
        <v>11</v>
      </c>
      <c r="H211" s="11">
        <v>1</v>
      </c>
      <c r="I211" s="11">
        <v>4.7999999999999996E-3</v>
      </c>
      <c r="J211" s="11">
        <v>0.5</v>
      </c>
    </row>
    <row r="212" spans="1:10" x14ac:dyDescent="0.45">
      <c r="A212" s="11">
        <v>207</v>
      </c>
      <c r="B212" s="11" t="s">
        <v>1109</v>
      </c>
      <c r="C212" s="11">
        <v>0.18</v>
      </c>
      <c r="D212" s="11">
        <v>0</v>
      </c>
      <c r="E212" s="11">
        <v>1</v>
      </c>
      <c r="F212" s="11">
        <v>-1.5411999999999999</v>
      </c>
      <c r="G212" s="11">
        <v>17</v>
      </c>
      <c r="H212" s="11">
        <v>1</v>
      </c>
      <c r="I212" s="11">
        <v>4.7999999999999996E-3</v>
      </c>
      <c r="J212" s="11">
        <v>0.5</v>
      </c>
    </row>
    <row r="213" spans="1:10" x14ac:dyDescent="0.45">
      <c r="A213" s="11">
        <v>208</v>
      </c>
      <c r="B213" s="11" t="s">
        <v>1110</v>
      </c>
      <c r="C213" s="11">
        <v>0.18</v>
      </c>
      <c r="D213" s="11">
        <v>0</v>
      </c>
      <c r="E213" s="11">
        <v>1</v>
      </c>
      <c r="F213" s="11">
        <v>-0.1212</v>
      </c>
      <c r="G213" s="11">
        <v>7</v>
      </c>
      <c r="H213" s="11">
        <v>1</v>
      </c>
      <c r="I213" s="11">
        <v>0.01</v>
      </c>
      <c r="J213" s="11">
        <v>1</v>
      </c>
    </row>
    <row r="214" spans="1:10" x14ac:dyDescent="0.45">
      <c r="A214" s="11">
        <v>209</v>
      </c>
      <c r="B214" s="11" t="s">
        <v>1111</v>
      </c>
      <c r="C214" s="11">
        <v>0.18</v>
      </c>
      <c r="D214" s="11">
        <v>0</v>
      </c>
      <c r="E214" s="11">
        <v>1</v>
      </c>
      <c r="F214" s="11">
        <v>-0.1212</v>
      </c>
      <c r="G214" s="11">
        <v>7</v>
      </c>
      <c r="H214" s="11">
        <v>1</v>
      </c>
      <c r="I214" s="11">
        <v>0.01</v>
      </c>
      <c r="J214" s="11">
        <v>1</v>
      </c>
    </row>
    <row r="215" spans="1:10" x14ac:dyDescent="0.45">
      <c r="A215" s="11">
        <v>210</v>
      </c>
      <c r="B215" s="11" t="s">
        <v>1112</v>
      </c>
      <c r="C215" s="11">
        <v>0</v>
      </c>
      <c r="D215" s="11">
        <v>1</v>
      </c>
      <c r="E215" s="11">
        <v>0</v>
      </c>
      <c r="F215" s="11">
        <v>-1.7594000000000001</v>
      </c>
      <c r="G215" s="11">
        <v>18</v>
      </c>
      <c r="H215" s="11">
        <v>0</v>
      </c>
      <c r="I215" s="11">
        <v>0</v>
      </c>
      <c r="J215" s="11">
        <v>1</v>
      </c>
    </row>
    <row r="216" spans="1:10" x14ac:dyDescent="0.45">
      <c r="A216" s="11">
        <v>211</v>
      </c>
      <c r="B216" s="11" t="s">
        <v>1113</v>
      </c>
      <c r="C216" s="11">
        <v>0</v>
      </c>
      <c r="D216" s="11">
        <v>1</v>
      </c>
      <c r="E216" s="11">
        <v>0</v>
      </c>
      <c r="F216" s="11">
        <v>-1.7594000000000001</v>
      </c>
      <c r="G216" s="11">
        <v>18</v>
      </c>
      <c r="H216" s="11">
        <v>0</v>
      </c>
      <c r="I216" s="11">
        <v>0</v>
      </c>
      <c r="J216" s="11">
        <v>1</v>
      </c>
    </row>
    <row r="217" spans="1:10" x14ac:dyDescent="0.45">
      <c r="A217" s="11">
        <v>212</v>
      </c>
      <c r="B217" s="11" t="s">
        <v>1114</v>
      </c>
      <c r="C217" s="11">
        <v>0</v>
      </c>
      <c r="D217" s="11">
        <v>1</v>
      </c>
      <c r="E217" s="11">
        <v>0</v>
      </c>
      <c r="F217" s="11">
        <v>-1.7594000000000001</v>
      </c>
      <c r="G217" s="11">
        <v>18</v>
      </c>
      <c r="H217" s="11">
        <v>0</v>
      </c>
      <c r="I217" s="11">
        <v>0</v>
      </c>
      <c r="J217" s="11">
        <v>1</v>
      </c>
    </row>
    <row r="218" spans="1:10" x14ac:dyDescent="0.45">
      <c r="A218" s="11">
        <v>213</v>
      </c>
      <c r="B218" s="11" t="s">
        <v>1115</v>
      </c>
      <c r="C218" s="11">
        <v>0</v>
      </c>
      <c r="D218" s="11">
        <v>1</v>
      </c>
      <c r="E218" s="11">
        <v>0</v>
      </c>
      <c r="F218" s="11">
        <v>-1.7594000000000001</v>
      </c>
      <c r="G218" s="11">
        <v>18</v>
      </c>
      <c r="H218" s="11">
        <v>1</v>
      </c>
      <c r="I218" s="11">
        <v>0</v>
      </c>
      <c r="J218" s="11">
        <v>1</v>
      </c>
    </row>
    <row r="219" spans="1:10" x14ac:dyDescent="0.45">
      <c r="A219" s="11">
        <v>214</v>
      </c>
      <c r="B219" s="11" t="s">
        <v>1116</v>
      </c>
      <c r="C219" s="11">
        <v>0</v>
      </c>
      <c r="D219" s="11">
        <v>1</v>
      </c>
      <c r="E219" s="11">
        <v>0</v>
      </c>
      <c r="F219" s="11">
        <v>-1.7594000000000001</v>
      </c>
      <c r="G219" s="11">
        <v>18</v>
      </c>
      <c r="H219" s="11">
        <v>0</v>
      </c>
      <c r="I219" s="11">
        <v>0</v>
      </c>
      <c r="J219" s="11">
        <v>1</v>
      </c>
    </row>
    <row r="220" spans="1:10" x14ac:dyDescent="0.45">
      <c r="A220" s="11">
        <v>215</v>
      </c>
      <c r="B220" s="11" t="s">
        <v>1117</v>
      </c>
      <c r="C220" s="11">
        <v>0</v>
      </c>
      <c r="D220" s="11">
        <v>1</v>
      </c>
      <c r="E220" s="11">
        <v>0</v>
      </c>
      <c r="F220" s="11">
        <v>-1.7594000000000001</v>
      </c>
      <c r="G220" s="11">
        <v>18</v>
      </c>
      <c r="H220" s="11">
        <v>0</v>
      </c>
      <c r="I220" s="11">
        <v>0</v>
      </c>
      <c r="J220" s="11">
        <v>1</v>
      </c>
    </row>
    <row r="221" spans="1:10" x14ac:dyDescent="0.45">
      <c r="A221" s="11">
        <v>216</v>
      </c>
      <c r="B221" s="11" t="s">
        <v>1118</v>
      </c>
      <c r="C221" s="11">
        <v>0</v>
      </c>
      <c r="D221" s="11">
        <v>1</v>
      </c>
      <c r="E221" s="11">
        <v>1</v>
      </c>
      <c r="F221" s="11">
        <v>-1.7837000000000001</v>
      </c>
      <c r="G221" s="11">
        <v>13</v>
      </c>
      <c r="H221" s="11">
        <v>1</v>
      </c>
      <c r="I221" s="11">
        <v>7.5799999999999999E-3</v>
      </c>
      <c r="J221" s="11">
        <v>0.5</v>
      </c>
    </row>
    <row r="222" spans="1:10" x14ac:dyDescent="0.45">
      <c r="A222" s="11">
        <v>216</v>
      </c>
      <c r="B222" s="11" t="s">
        <v>1118</v>
      </c>
      <c r="C222" s="11">
        <v>0</v>
      </c>
      <c r="D222" s="11">
        <v>1</v>
      </c>
      <c r="E222" s="11">
        <v>1</v>
      </c>
      <c r="F222" s="11">
        <v>-1.7837000000000001</v>
      </c>
      <c r="G222" s="11">
        <v>17</v>
      </c>
      <c r="H222" s="11">
        <v>1</v>
      </c>
      <c r="I222" s="11">
        <v>7.5799999999999999E-3</v>
      </c>
      <c r="J222" s="11">
        <v>0.5</v>
      </c>
    </row>
    <row r="223" spans="1:10" x14ac:dyDescent="0.45">
      <c r="A223" s="11">
        <v>217</v>
      </c>
      <c r="B223" s="11" t="s">
        <v>1119</v>
      </c>
      <c r="C223" s="11">
        <v>0.18</v>
      </c>
      <c r="D223" s="11">
        <v>0</v>
      </c>
      <c r="E223" s="11">
        <v>0</v>
      </c>
      <c r="F223" s="11">
        <v>-1.4570000000000001</v>
      </c>
      <c r="G223" s="11">
        <v>23</v>
      </c>
      <c r="H223" s="11">
        <v>1</v>
      </c>
      <c r="I223" s="11">
        <v>0</v>
      </c>
      <c r="J223" s="11">
        <v>0.5</v>
      </c>
    </row>
    <row r="224" spans="1:10" x14ac:dyDescent="0.45">
      <c r="A224" s="11">
        <v>217</v>
      </c>
      <c r="B224" s="11" t="s">
        <v>1119</v>
      </c>
      <c r="C224" s="11">
        <v>0.18</v>
      </c>
      <c r="D224" s="11">
        <v>0</v>
      </c>
      <c r="E224" s="11">
        <v>0</v>
      </c>
      <c r="F224" s="11">
        <v>-1.4570000000000001</v>
      </c>
      <c r="G224" s="11">
        <v>6</v>
      </c>
      <c r="H224" s="11">
        <v>1</v>
      </c>
      <c r="I224" s="11">
        <v>0</v>
      </c>
      <c r="J224" s="11">
        <v>0.5</v>
      </c>
    </row>
    <row r="225" spans="1:10" x14ac:dyDescent="0.45">
      <c r="A225" s="11">
        <v>301</v>
      </c>
      <c r="B225" s="11" t="s">
        <v>1120</v>
      </c>
      <c r="C225" s="11">
        <v>0.18</v>
      </c>
      <c r="D225" s="11">
        <v>0</v>
      </c>
      <c r="E225" s="11">
        <v>1</v>
      </c>
      <c r="F225" s="11">
        <v>-1.5879000000000001</v>
      </c>
      <c r="G225" s="11">
        <v>6</v>
      </c>
      <c r="H225" s="11">
        <v>1</v>
      </c>
      <c r="I225" s="11">
        <v>0.15096999999999999</v>
      </c>
      <c r="J225" s="11">
        <v>1</v>
      </c>
    </row>
    <row r="226" spans="1:10" x14ac:dyDescent="0.45">
      <c r="A226" s="11">
        <v>302</v>
      </c>
      <c r="B226" s="11" t="s">
        <v>1121</v>
      </c>
      <c r="C226" s="11">
        <v>0.18</v>
      </c>
      <c r="D226" s="11">
        <v>0</v>
      </c>
      <c r="E226" s="11">
        <v>1</v>
      </c>
      <c r="F226" s="11">
        <v>-1.5879000000000001</v>
      </c>
      <c r="G226" s="11">
        <v>6</v>
      </c>
      <c r="H226" s="11">
        <v>1</v>
      </c>
      <c r="I226" s="11">
        <v>0.13682</v>
      </c>
      <c r="J226" s="11">
        <v>1</v>
      </c>
    </row>
    <row r="227" spans="1:10" x14ac:dyDescent="0.45">
      <c r="A227" s="11">
        <v>303</v>
      </c>
      <c r="B227" s="11" t="s">
        <v>1122</v>
      </c>
      <c r="C227" s="11">
        <v>0</v>
      </c>
      <c r="D227" s="11">
        <v>1</v>
      </c>
      <c r="E227" s="11">
        <v>1</v>
      </c>
      <c r="F227" s="11">
        <v>-1.3504</v>
      </c>
      <c r="G227" s="11">
        <v>9</v>
      </c>
      <c r="H227" s="11">
        <v>1</v>
      </c>
      <c r="I227" s="11">
        <v>0.01</v>
      </c>
      <c r="J227" s="11">
        <v>1</v>
      </c>
    </row>
    <row r="228" spans="1:10" x14ac:dyDescent="0.45">
      <c r="A228" s="11">
        <v>304</v>
      </c>
      <c r="B228" s="11" t="s">
        <v>1123</v>
      </c>
      <c r="C228" s="11">
        <v>0.18</v>
      </c>
      <c r="D228" s="11">
        <v>0</v>
      </c>
      <c r="E228" s="11">
        <v>1</v>
      </c>
      <c r="F228" s="11">
        <v>-1.3504</v>
      </c>
      <c r="G228" s="11">
        <v>7</v>
      </c>
      <c r="H228" s="11">
        <v>1</v>
      </c>
      <c r="I228" s="11">
        <v>0.01</v>
      </c>
      <c r="J228" s="11">
        <v>1</v>
      </c>
    </row>
    <row r="229" spans="1:10" x14ac:dyDescent="0.45">
      <c r="A229" s="11">
        <v>305</v>
      </c>
      <c r="B229" s="11" t="s">
        <v>1124</v>
      </c>
      <c r="C229" s="11">
        <v>0.18</v>
      </c>
      <c r="D229" s="11">
        <v>0</v>
      </c>
      <c r="E229" s="11">
        <v>1</v>
      </c>
      <c r="F229" s="11">
        <v>-1.5411999999999999</v>
      </c>
      <c r="G229" s="11">
        <v>11</v>
      </c>
      <c r="H229" s="11">
        <v>1</v>
      </c>
      <c r="I229" s="11">
        <v>0.17266000000000001</v>
      </c>
      <c r="J229" s="11">
        <v>0.33333332999999998</v>
      </c>
    </row>
    <row r="230" spans="1:10" x14ac:dyDescent="0.45">
      <c r="A230" s="11">
        <v>305</v>
      </c>
      <c r="B230" s="11" t="s">
        <v>1124</v>
      </c>
      <c r="C230" s="11">
        <v>0.18</v>
      </c>
      <c r="D230" s="11">
        <v>0</v>
      </c>
      <c r="E230" s="11">
        <v>1</v>
      </c>
      <c r="F230" s="11">
        <v>-1.5411999999999999</v>
      </c>
      <c r="G230" s="11">
        <v>13</v>
      </c>
      <c r="H230" s="11">
        <v>1</v>
      </c>
      <c r="I230" s="11">
        <v>0.17266000000000001</v>
      </c>
      <c r="J230" s="11">
        <v>0.33333332999999998</v>
      </c>
    </row>
    <row r="231" spans="1:10" x14ac:dyDescent="0.45">
      <c r="A231" s="11">
        <v>305</v>
      </c>
      <c r="B231" s="11" t="s">
        <v>1124</v>
      </c>
      <c r="C231" s="11">
        <v>0.18</v>
      </c>
      <c r="D231" s="11">
        <v>0</v>
      </c>
      <c r="E231" s="11">
        <v>1</v>
      </c>
      <c r="F231" s="11">
        <v>-1.5411999999999999</v>
      </c>
      <c r="G231" s="11">
        <v>17</v>
      </c>
      <c r="H231" s="11">
        <v>1</v>
      </c>
      <c r="I231" s="11">
        <v>0.17266000000000001</v>
      </c>
      <c r="J231" s="11">
        <v>0.33333332999999998</v>
      </c>
    </row>
    <row r="232" spans="1:10" x14ac:dyDescent="0.45">
      <c r="A232" s="11">
        <v>306</v>
      </c>
      <c r="B232" s="11" t="s">
        <v>1125</v>
      </c>
      <c r="C232" s="11">
        <v>0.18</v>
      </c>
      <c r="D232" s="11">
        <v>0</v>
      </c>
      <c r="E232" s="11">
        <v>1</v>
      </c>
      <c r="F232" s="11">
        <v>-1.5411999999999999</v>
      </c>
      <c r="G232" s="11">
        <v>11</v>
      </c>
      <c r="H232" s="11">
        <v>1</v>
      </c>
      <c r="I232" s="11">
        <v>3.5630000000000002E-2</v>
      </c>
      <c r="J232" s="11">
        <v>0.5</v>
      </c>
    </row>
    <row r="233" spans="1:10" x14ac:dyDescent="0.45">
      <c r="A233" s="11">
        <v>306</v>
      </c>
      <c r="B233" s="11" t="s">
        <v>1125</v>
      </c>
      <c r="C233" s="11">
        <v>0.18</v>
      </c>
      <c r="D233" s="11">
        <v>0</v>
      </c>
      <c r="E233" s="11">
        <v>1</v>
      </c>
      <c r="F233" s="11">
        <v>-1.5411999999999999</v>
      </c>
      <c r="G233" s="11">
        <v>17</v>
      </c>
      <c r="H233" s="11">
        <v>1</v>
      </c>
      <c r="I233" s="11">
        <v>3.5630000000000002E-2</v>
      </c>
      <c r="J233" s="11">
        <v>0.5</v>
      </c>
    </row>
    <row r="234" spans="1:10" x14ac:dyDescent="0.45">
      <c r="A234" s="11">
        <v>307</v>
      </c>
      <c r="B234" s="11" t="s">
        <v>1126</v>
      </c>
      <c r="C234" s="11">
        <v>0.18</v>
      </c>
      <c r="D234" s="11">
        <v>0</v>
      </c>
      <c r="E234" s="11">
        <v>1</v>
      </c>
      <c r="F234" s="11">
        <v>-1.5411999999999999</v>
      </c>
      <c r="G234" s="11">
        <v>11</v>
      </c>
      <c r="H234" s="11">
        <v>1</v>
      </c>
      <c r="I234" s="11">
        <v>0.20473</v>
      </c>
      <c r="J234" s="11">
        <v>0.5</v>
      </c>
    </row>
    <row r="235" spans="1:10" x14ac:dyDescent="0.45">
      <c r="A235" s="11">
        <v>307</v>
      </c>
      <c r="B235" s="11" t="s">
        <v>1126</v>
      </c>
      <c r="C235" s="11">
        <v>0.18</v>
      </c>
      <c r="D235" s="11">
        <v>0</v>
      </c>
      <c r="E235" s="11">
        <v>1</v>
      </c>
      <c r="F235" s="11">
        <v>-1.5411999999999999</v>
      </c>
      <c r="G235" s="11">
        <v>17</v>
      </c>
      <c r="H235" s="11">
        <v>1</v>
      </c>
      <c r="I235" s="11">
        <v>0.20473</v>
      </c>
      <c r="J235" s="11">
        <v>0.5</v>
      </c>
    </row>
    <row r="236" spans="1:10" x14ac:dyDescent="0.45">
      <c r="A236" s="11">
        <v>308</v>
      </c>
      <c r="B236" s="11" t="s">
        <v>1127</v>
      </c>
      <c r="C236" s="11">
        <v>0.18</v>
      </c>
      <c r="D236" s="11">
        <v>0</v>
      </c>
      <c r="E236" s="11">
        <v>0</v>
      </c>
      <c r="F236" s="11">
        <v>-1.5411999999999999</v>
      </c>
      <c r="G236" s="11">
        <v>29</v>
      </c>
      <c r="H236" s="11">
        <v>1</v>
      </c>
      <c r="I236" s="11">
        <v>0</v>
      </c>
      <c r="J236" s="11">
        <v>1</v>
      </c>
    </row>
    <row r="237" spans="1:10" x14ac:dyDescent="0.45">
      <c r="A237" s="11">
        <v>309</v>
      </c>
      <c r="B237" s="11" t="s">
        <v>1128</v>
      </c>
      <c r="C237" s="11">
        <v>0.18</v>
      </c>
      <c r="D237" s="11">
        <v>0</v>
      </c>
      <c r="E237" s="11">
        <v>0</v>
      </c>
      <c r="F237" s="11">
        <v>-1.3098000000000001</v>
      </c>
      <c r="G237" s="11">
        <v>30</v>
      </c>
      <c r="H237" s="11">
        <v>1</v>
      </c>
      <c r="I237" s="11">
        <v>0</v>
      </c>
      <c r="J237" s="11">
        <v>1</v>
      </c>
    </row>
    <row r="238" spans="1:10" x14ac:dyDescent="0.45">
      <c r="A238" s="11">
        <v>310</v>
      </c>
      <c r="B238" s="11" t="s">
        <v>1129</v>
      </c>
      <c r="C238" s="11">
        <v>0.18</v>
      </c>
      <c r="D238" s="11">
        <v>0</v>
      </c>
      <c r="E238" s="11">
        <v>0</v>
      </c>
      <c r="F238" s="11">
        <v>-1.3504</v>
      </c>
      <c r="G238" s="11">
        <v>15</v>
      </c>
      <c r="H238" s="11">
        <v>1</v>
      </c>
      <c r="I238" s="11">
        <v>0</v>
      </c>
      <c r="J238" s="11">
        <v>1</v>
      </c>
    </row>
    <row r="239" spans="1:10" x14ac:dyDescent="0.45">
      <c r="A239" s="11">
        <v>311</v>
      </c>
      <c r="B239" s="11" t="s">
        <v>1130</v>
      </c>
      <c r="C239" s="11">
        <v>0.18</v>
      </c>
      <c r="D239" s="11">
        <v>0</v>
      </c>
      <c r="E239" s="11">
        <v>0</v>
      </c>
      <c r="F239" s="11">
        <v>-1.7594000000000001</v>
      </c>
      <c r="G239" s="11">
        <v>30</v>
      </c>
      <c r="H239" s="11">
        <v>1</v>
      </c>
      <c r="I239" s="11">
        <v>0</v>
      </c>
      <c r="J239" s="11">
        <v>1</v>
      </c>
    </row>
    <row r="240" spans="1:10" x14ac:dyDescent="0.45">
      <c r="A240" s="11">
        <v>312</v>
      </c>
      <c r="B240" s="11" t="s">
        <v>1131</v>
      </c>
      <c r="C240" s="11">
        <v>0.18</v>
      </c>
      <c r="D240" s="11">
        <v>0</v>
      </c>
      <c r="E240" s="11">
        <v>0</v>
      </c>
      <c r="F240" s="11">
        <v>-1.7594000000000001</v>
      </c>
      <c r="G240" s="11">
        <v>18</v>
      </c>
      <c r="H240" s="11">
        <v>1</v>
      </c>
      <c r="I240" s="11">
        <v>0</v>
      </c>
      <c r="J240" s="11">
        <v>0.5</v>
      </c>
    </row>
    <row r="241" spans="1:10" x14ac:dyDescent="0.45">
      <c r="A241" s="11">
        <v>312</v>
      </c>
      <c r="B241" s="11" t="s">
        <v>1131</v>
      </c>
      <c r="C241" s="11">
        <v>0.18</v>
      </c>
      <c r="D241" s="11">
        <v>0</v>
      </c>
      <c r="E241" s="11">
        <v>0</v>
      </c>
      <c r="F241" s="11">
        <v>-1.7594000000000001</v>
      </c>
      <c r="G241" s="11">
        <v>30</v>
      </c>
      <c r="H241" s="11">
        <v>1</v>
      </c>
      <c r="I241" s="11">
        <v>0</v>
      </c>
      <c r="J241" s="11">
        <v>0.5</v>
      </c>
    </row>
    <row r="242" spans="1:10" x14ac:dyDescent="0.45">
      <c r="A242" s="11">
        <v>313</v>
      </c>
      <c r="B242" s="11" t="s">
        <v>1132</v>
      </c>
      <c r="C242" s="11">
        <v>0.18</v>
      </c>
      <c r="D242" s="11">
        <v>0</v>
      </c>
      <c r="E242" s="11">
        <v>0</v>
      </c>
      <c r="F242" s="11">
        <v>-1.8727</v>
      </c>
      <c r="G242" s="11">
        <v>17</v>
      </c>
      <c r="H242" s="11">
        <v>1</v>
      </c>
      <c r="I242" s="11">
        <v>0</v>
      </c>
      <c r="J242" s="11">
        <v>0.5</v>
      </c>
    </row>
    <row r="243" spans="1:10" x14ac:dyDescent="0.45">
      <c r="A243" s="11">
        <v>313</v>
      </c>
      <c r="B243" s="11" t="s">
        <v>1132</v>
      </c>
      <c r="C243" s="11">
        <v>0.18</v>
      </c>
      <c r="D243" s="11">
        <v>0</v>
      </c>
      <c r="E243" s="11">
        <v>0</v>
      </c>
      <c r="F243" s="11">
        <v>-1.8727</v>
      </c>
      <c r="G243" s="11">
        <v>20</v>
      </c>
      <c r="H243" s="11">
        <v>1</v>
      </c>
      <c r="I243" s="11">
        <v>0</v>
      </c>
      <c r="J243" s="11">
        <v>0.5</v>
      </c>
    </row>
    <row r="244" spans="1:10" x14ac:dyDescent="0.45">
      <c r="A244" s="11">
        <v>314</v>
      </c>
      <c r="B244" s="11" t="s">
        <v>1133</v>
      </c>
      <c r="C244" s="11">
        <v>0.18</v>
      </c>
      <c r="D244" s="11">
        <v>0</v>
      </c>
      <c r="E244" s="11">
        <v>0</v>
      </c>
      <c r="F244" s="11">
        <v>-1.7837000000000001</v>
      </c>
      <c r="G244" s="11">
        <v>28</v>
      </c>
      <c r="H244" s="11">
        <v>1</v>
      </c>
      <c r="I244" s="11">
        <v>0</v>
      </c>
      <c r="J244" s="11">
        <v>0.5</v>
      </c>
    </row>
    <row r="245" spans="1:10" x14ac:dyDescent="0.45">
      <c r="A245" s="11">
        <v>314</v>
      </c>
      <c r="B245" s="11" t="s">
        <v>1133</v>
      </c>
      <c r="C245" s="11">
        <v>0.18</v>
      </c>
      <c r="D245" s="11">
        <v>0</v>
      </c>
      <c r="E245" s="11">
        <v>0</v>
      </c>
      <c r="F245" s="11">
        <v>-1.7837000000000001</v>
      </c>
      <c r="G245" s="11">
        <v>17</v>
      </c>
      <c r="H245" s="11">
        <v>1</v>
      </c>
      <c r="I245" s="11">
        <v>0</v>
      </c>
      <c r="J245" s="11">
        <v>0.5</v>
      </c>
    </row>
    <row r="246" spans="1:10" x14ac:dyDescent="0.45">
      <c r="A246" s="11">
        <v>315</v>
      </c>
      <c r="B246" s="11" t="s">
        <v>1134</v>
      </c>
      <c r="C246" s="11">
        <v>0</v>
      </c>
      <c r="D246" s="11">
        <v>1</v>
      </c>
      <c r="E246" s="11">
        <v>1</v>
      </c>
      <c r="F246" s="11">
        <v>-1.7837000000000001</v>
      </c>
      <c r="G246" s="11">
        <v>13</v>
      </c>
      <c r="H246" s="11">
        <v>1</v>
      </c>
      <c r="I246" s="11">
        <v>7.5799999999999999E-3</v>
      </c>
      <c r="J246" s="11">
        <v>0.5</v>
      </c>
    </row>
    <row r="247" spans="1:10" x14ac:dyDescent="0.45">
      <c r="A247" s="11">
        <v>315</v>
      </c>
      <c r="B247" s="11" t="s">
        <v>1134</v>
      </c>
      <c r="C247" s="11">
        <v>0</v>
      </c>
      <c r="D247" s="11">
        <v>1</v>
      </c>
      <c r="E247" s="11">
        <v>1</v>
      </c>
      <c r="F247" s="11">
        <v>-1.7837000000000001</v>
      </c>
      <c r="G247" s="11">
        <v>17</v>
      </c>
      <c r="H247" s="11">
        <v>1</v>
      </c>
      <c r="I247" s="11">
        <v>7.5799999999999999E-3</v>
      </c>
      <c r="J247" s="11">
        <v>0.5</v>
      </c>
    </row>
    <row r="248" spans="1:10" x14ac:dyDescent="0.45">
      <c r="A248" s="11">
        <v>316</v>
      </c>
      <c r="B248" s="11" t="s">
        <v>1135</v>
      </c>
      <c r="C248" s="11">
        <v>0.18</v>
      </c>
      <c r="D248" s="11">
        <v>0</v>
      </c>
      <c r="E248" s="11">
        <v>0</v>
      </c>
      <c r="F248" s="11">
        <v>-1.4570000000000001</v>
      </c>
      <c r="G248" s="11">
        <v>27</v>
      </c>
      <c r="H248" s="11">
        <v>1</v>
      </c>
      <c r="I248" s="11">
        <v>0</v>
      </c>
      <c r="J248" s="11">
        <v>0.5</v>
      </c>
    </row>
    <row r="249" spans="1:10" x14ac:dyDescent="0.45">
      <c r="A249" s="11">
        <v>316</v>
      </c>
      <c r="B249" s="11" t="s">
        <v>1135</v>
      </c>
      <c r="C249" s="11">
        <v>0.18</v>
      </c>
      <c r="D249" s="11">
        <v>0</v>
      </c>
      <c r="E249" s="11">
        <v>0</v>
      </c>
      <c r="F249" s="11">
        <v>-1.4570000000000001</v>
      </c>
      <c r="G249" s="11">
        <v>30</v>
      </c>
      <c r="H249" s="11">
        <v>1</v>
      </c>
      <c r="I249" s="11">
        <v>0</v>
      </c>
      <c r="J249" s="11">
        <v>0.5</v>
      </c>
    </row>
    <row r="250" spans="1:10" x14ac:dyDescent="0.45">
      <c r="A250" s="11">
        <v>317</v>
      </c>
      <c r="B250" s="11" t="s">
        <v>1136</v>
      </c>
      <c r="C250" s="11">
        <v>0.18</v>
      </c>
      <c r="D250" s="11">
        <v>0</v>
      </c>
      <c r="E250" s="11">
        <v>1</v>
      </c>
      <c r="F250" s="11">
        <v>0</v>
      </c>
      <c r="G250" s="11">
        <v>11</v>
      </c>
      <c r="H250" s="11">
        <v>1</v>
      </c>
      <c r="I250" s="11">
        <v>2.1000000000000001E-2</v>
      </c>
      <c r="J250" s="11">
        <v>0.5</v>
      </c>
    </row>
    <row r="251" spans="1:10" x14ac:dyDescent="0.45">
      <c r="A251" s="11">
        <v>317</v>
      </c>
      <c r="B251" s="11" t="s">
        <v>1136</v>
      </c>
      <c r="C251" s="11">
        <v>0.18</v>
      </c>
      <c r="D251" s="11">
        <v>0</v>
      </c>
      <c r="E251" s="11">
        <v>1</v>
      </c>
      <c r="F251" s="11">
        <v>0</v>
      </c>
      <c r="G251" s="11">
        <v>17</v>
      </c>
      <c r="H251" s="11">
        <v>1</v>
      </c>
      <c r="I251" s="11">
        <v>2.1000000000000001E-2</v>
      </c>
      <c r="J251" s="11">
        <v>0.5</v>
      </c>
    </row>
    <row r="252" spans="1:10" x14ac:dyDescent="0.45">
      <c r="A252" s="11">
        <v>318</v>
      </c>
      <c r="B252" s="11" t="s">
        <v>1137</v>
      </c>
      <c r="C252" s="11">
        <v>0.18</v>
      </c>
      <c r="D252" s="11">
        <v>0</v>
      </c>
      <c r="E252" s="11">
        <v>1</v>
      </c>
      <c r="F252" s="11">
        <v>0</v>
      </c>
      <c r="G252" s="11">
        <v>11</v>
      </c>
      <c r="H252" s="11">
        <v>1</v>
      </c>
      <c r="I252" s="11">
        <v>2.0469999999999999E-2</v>
      </c>
      <c r="J252" s="11">
        <v>0.5</v>
      </c>
    </row>
    <row r="253" spans="1:10" x14ac:dyDescent="0.45">
      <c r="A253" s="11">
        <v>318</v>
      </c>
      <c r="B253" s="11" t="s">
        <v>1137</v>
      </c>
      <c r="C253" s="11">
        <v>0.18</v>
      </c>
      <c r="D253" s="11">
        <v>0</v>
      </c>
      <c r="E253" s="11">
        <v>1</v>
      </c>
      <c r="F253" s="11">
        <v>0</v>
      </c>
      <c r="G253" s="11">
        <v>17</v>
      </c>
      <c r="H253" s="11">
        <v>1</v>
      </c>
      <c r="I253" s="11">
        <v>2.0469999999999999E-2</v>
      </c>
      <c r="J253" s="11">
        <v>0.5</v>
      </c>
    </row>
    <row r="254" spans="1:10" x14ac:dyDescent="0.45">
      <c r="A254" s="11">
        <v>319</v>
      </c>
      <c r="B254" s="11" t="s">
        <v>1138</v>
      </c>
      <c r="C254" s="11">
        <v>0.18</v>
      </c>
      <c r="D254" s="11">
        <v>0</v>
      </c>
      <c r="E254" s="11">
        <v>1</v>
      </c>
      <c r="F254" s="11">
        <v>0</v>
      </c>
      <c r="G254" s="11">
        <v>13</v>
      </c>
      <c r="H254" s="11">
        <v>1</v>
      </c>
      <c r="I254" s="11">
        <v>0.16092000000000001</v>
      </c>
      <c r="J254" s="11">
        <v>0.5</v>
      </c>
    </row>
    <row r="255" spans="1:10" x14ac:dyDescent="0.45">
      <c r="A255" s="11">
        <v>319</v>
      </c>
      <c r="B255" s="11" t="s">
        <v>1138</v>
      </c>
      <c r="C255" s="11">
        <v>0.18</v>
      </c>
      <c r="D255" s="11">
        <v>0</v>
      </c>
      <c r="E255" s="11">
        <v>1</v>
      </c>
      <c r="F255" s="11">
        <v>0</v>
      </c>
      <c r="G255" s="11">
        <v>17</v>
      </c>
      <c r="H255" s="11">
        <v>1</v>
      </c>
      <c r="I255" s="11">
        <v>0.16092000000000001</v>
      </c>
      <c r="J255" s="11">
        <v>0.5</v>
      </c>
    </row>
    <row r="256" spans="1:10" x14ac:dyDescent="0.45">
      <c r="A256" s="11">
        <v>320</v>
      </c>
      <c r="B256" s="11" t="s">
        <v>1139</v>
      </c>
      <c r="C256" s="11">
        <v>0.18</v>
      </c>
      <c r="D256" s="11">
        <v>0</v>
      </c>
      <c r="E256" s="11">
        <v>1</v>
      </c>
      <c r="F256" s="11">
        <v>0</v>
      </c>
      <c r="G256" s="11">
        <v>13</v>
      </c>
      <c r="H256" s="11">
        <v>1</v>
      </c>
      <c r="I256" s="11">
        <v>4.6769999999999999E-2</v>
      </c>
      <c r="J256" s="11">
        <v>0.5</v>
      </c>
    </row>
    <row r="257" spans="1:10" x14ac:dyDescent="0.45">
      <c r="A257" s="11">
        <v>320</v>
      </c>
      <c r="B257" s="11" t="s">
        <v>1139</v>
      </c>
      <c r="C257" s="11">
        <v>0.18</v>
      </c>
      <c r="D257" s="11">
        <v>0</v>
      </c>
      <c r="E257" s="11">
        <v>1</v>
      </c>
      <c r="F257" s="11">
        <v>0</v>
      </c>
      <c r="G257" s="11">
        <v>17</v>
      </c>
      <c r="H257" s="11">
        <v>1</v>
      </c>
      <c r="I257" s="11">
        <v>4.6769999999999999E-2</v>
      </c>
      <c r="J257" s="11">
        <v>0.5</v>
      </c>
    </row>
    <row r="258" spans="1:10" x14ac:dyDescent="0.45">
      <c r="A258" s="11">
        <v>321</v>
      </c>
      <c r="B258" s="11" t="s">
        <v>1140</v>
      </c>
      <c r="C258" s="11">
        <v>0.18</v>
      </c>
      <c r="D258" s="11">
        <v>0</v>
      </c>
      <c r="E258" s="11">
        <v>1</v>
      </c>
      <c r="F258" s="11">
        <v>0</v>
      </c>
      <c r="G258" s="11">
        <v>11</v>
      </c>
      <c r="H258" s="11">
        <v>1</v>
      </c>
      <c r="I258" s="11">
        <v>8.8500000000000002E-3</v>
      </c>
      <c r="J258" s="11">
        <v>0.5</v>
      </c>
    </row>
    <row r="259" spans="1:10" x14ac:dyDescent="0.45">
      <c r="A259" s="11">
        <v>321</v>
      </c>
      <c r="B259" s="11" t="s">
        <v>1140</v>
      </c>
      <c r="C259" s="11">
        <v>0.18</v>
      </c>
      <c r="D259" s="11">
        <v>0</v>
      </c>
      <c r="E259" s="11">
        <v>1</v>
      </c>
      <c r="F259" s="11">
        <v>0</v>
      </c>
      <c r="G259" s="11">
        <v>17</v>
      </c>
      <c r="H259" s="11">
        <v>1</v>
      </c>
      <c r="I259" s="11">
        <v>8.8500000000000002E-3</v>
      </c>
      <c r="J259" s="11">
        <v>0.5</v>
      </c>
    </row>
    <row r="260" spans="1:10" x14ac:dyDescent="0.45">
      <c r="A260" s="11">
        <v>322</v>
      </c>
      <c r="B260" s="11" t="s">
        <v>1141</v>
      </c>
      <c r="C260" s="11">
        <v>0.18</v>
      </c>
      <c r="D260" s="11">
        <v>0</v>
      </c>
      <c r="E260" s="11">
        <v>1</v>
      </c>
      <c r="F260" s="11">
        <v>0</v>
      </c>
      <c r="G260" s="11">
        <v>13</v>
      </c>
      <c r="H260" s="11">
        <v>1</v>
      </c>
      <c r="I260" s="11">
        <v>0.10689</v>
      </c>
      <c r="J260" s="11">
        <v>0.33333332999999998</v>
      </c>
    </row>
    <row r="261" spans="1:10" x14ac:dyDescent="0.45">
      <c r="A261" s="11">
        <v>322</v>
      </c>
      <c r="B261" s="11" t="s">
        <v>1141</v>
      </c>
      <c r="C261" s="11">
        <v>0.18</v>
      </c>
      <c r="D261" s="11">
        <v>0</v>
      </c>
      <c r="E261" s="11">
        <v>1</v>
      </c>
      <c r="F261" s="11">
        <v>0</v>
      </c>
      <c r="G261" s="11">
        <v>27</v>
      </c>
      <c r="H261" s="11">
        <v>1</v>
      </c>
      <c r="I261" s="11">
        <v>0.10689</v>
      </c>
      <c r="J261" s="11">
        <v>0.33333332999999998</v>
      </c>
    </row>
    <row r="262" spans="1:10" x14ac:dyDescent="0.45">
      <c r="A262" s="11">
        <v>322</v>
      </c>
      <c r="B262" s="11" t="s">
        <v>1141</v>
      </c>
      <c r="C262" s="11">
        <v>0.18</v>
      </c>
      <c r="D262" s="11">
        <v>0</v>
      </c>
      <c r="E262" s="11">
        <v>1</v>
      </c>
      <c r="F262" s="11">
        <v>0</v>
      </c>
      <c r="G262" s="11">
        <v>17</v>
      </c>
      <c r="H262" s="11">
        <v>1</v>
      </c>
      <c r="I262" s="11">
        <v>0.10689</v>
      </c>
      <c r="J262" s="11">
        <v>0.33333332999999998</v>
      </c>
    </row>
    <row r="263" spans="1:10" x14ac:dyDescent="0.45">
      <c r="A263" s="11">
        <v>323</v>
      </c>
      <c r="B263" s="11" t="s">
        <v>1142</v>
      </c>
      <c r="C263" s="11">
        <v>0.18</v>
      </c>
      <c r="D263" s="11">
        <v>0</v>
      </c>
      <c r="E263" s="11">
        <v>1</v>
      </c>
      <c r="F263" s="11">
        <v>0</v>
      </c>
      <c r="G263" s="11">
        <v>13</v>
      </c>
      <c r="H263" s="11">
        <v>1</v>
      </c>
      <c r="I263" s="11">
        <v>0.20473</v>
      </c>
      <c r="J263" s="11">
        <v>0.33333332999999998</v>
      </c>
    </row>
    <row r="264" spans="1:10" x14ac:dyDescent="0.45">
      <c r="A264" s="11">
        <v>323</v>
      </c>
      <c r="B264" s="11" t="s">
        <v>1142</v>
      </c>
      <c r="C264" s="11">
        <v>0.18</v>
      </c>
      <c r="D264" s="11">
        <v>0</v>
      </c>
      <c r="E264" s="11">
        <v>1</v>
      </c>
      <c r="F264" s="11">
        <v>0</v>
      </c>
      <c r="G264" s="11">
        <v>27</v>
      </c>
      <c r="H264" s="11">
        <v>1</v>
      </c>
      <c r="I264" s="11">
        <v>0.20473</v>
      </c>
      <c r="J264" s="11">
        <v>0.33333332999999998</v>
      </c>
    </row>
    <row r="265" spans="1:10" x14ac:dyDescent="0.45">
      <c r="A265" s="11">
        <v>323</v>
      </c>
      <c r="B265" s="11" t="s">
        <v>1142</v>
      </c>
      <c r="C265" s="11">
        <v>0.18</v>
      </c>
      <c r="D265" s="11">
        <v>0</v>
      </c>
      <c r="E265" s="11">
        <v>1</v>
      </c>
      <c r="F265" s="11">
        <v>0</v>
      </c>
      <c r="G265" s="11">
        <v>17</v>
      </c>
      <c r="H265" s="11">
        <v>1</v>
      </c>
      <c r="I265" s="11">
        <v>0.20473</v>
      </c>
      <c r="J265" s="11">
        <v>0.33333332999999998</v>
      </c>
    </row>
    <row r="266" spans="1:10" x14ac:dyDescent="0.45">
      <c r="A266" s="11">
        <v>324</v>
      </c>
      <c r="B266" s="11" t="s">
        <v>1143</v>
      </c>
      <c r="C266" s="11">
        <v>0.18</v>
      </c>
      <c r="D266" s="11">
        <v>0</v>
      </c>
      <c r="E266" s="11">
        <v>1</v>
      </c>
      <c r="F266" s="11">
        <v>0</v>
      </c>
      <c r="G266" s="11">
        <v>11</v>
      </c>
      <c r="H266" s="11">
        <v>1</v>
      </c>
      <c r="I266" s="11">
        <v>9.9400000000000002E-2</v>
      </c>
      <c r="J266" s="11">
        <v>0.33333332999999998</v>
      </c>
    </row>
    <row r="267" spans="1:10" x14ac:dyDescent="0.45">
      <c r="A267" s="11">
        <v>324</v>
      </c>
      <c r="B267" s="11" t="s">
        <v>1143</v>
      </c>
      <c r="C267" s="11">
        <v>0.18</v>
      </c>
      <c r="D267" s="11">
        <v>0</v>
      </c>
      <c r="E267" s="11">
        <v>1</v>
      </c>
      <c r="F267" s="11">
        <v>0</v>
      </c>
      <c r="G267" s="11">
        <v>13</v>
      </c>
      <c r="H267" s="11">
        <v>1</v>
      </c>
      <c r="I267" s="11">
        <v>9.9400000000000002E-2</v>
      </c>
      <c r="J267" s="11">
        <v>0.33333332999999998</v>
      </c>
    </row>
    <row r="268" spans="1:10" x14ac:dyDescent="0.45">
      <c r="A268" s="11">
        <v>324</v>
      </c>
      <c r="B268" s="11" t="s">
        <v>1143</v>
      </c>
      <c r="C268" s="11">
        <v>0.18</v>
      </c>
      <c r="D268" s="11">
        <v>0</v>
      </c>
      <c r="E268" s="11">
        <v>1</v>
      </c>
      <c r="F268" s="11">
        <v>0</v>
      </c>
      <c r="G268" s="11">
        <v>17</v>
      </c>
      <c r="H268" s="11">
        <v>1</v>
      </c>
      <c r="I268" s="11">
        <v>9.9400000000000002E-2</v>
      </c>
      <c r="J268" s="11">
        <v>0.33333332999999998</v>
      </c>
    </row>
    <row r="269" spans="1:10" x14ac:dyDescent="0.45">
      <c r="A269" s="11">
        <v>331</v>
      </c>
      <c r="B269" s="11" t="s">
        <v>1144</v>
      </c>
      <c r="C269" s="11">
        <v>0</v>
      </c>
      <c r="D269" s="11">
        <v>1</v>
      </c>
      <c r="E269" s="11">
        <v>0</v>
      </c>
      <c r="F269" s="11">
        <v>-1.3504</v>
      </c>
      <c r="G269" s="11">
        <v>22</v>
      </c>
      <c r="H269" s="11">
        <v>1</v>
      </c>
      <c r="I269" s="11">
        <v>0</v>
      </c>
      <c r="J269" s="11">
        <v>1</v>
      </c>
    </row>
    <row r="270" spans="1:10" x14ac:dyDescent="0.45">
      <c r="A270" s="11">
        <v>332</v>
      </c>
      <c r="B270" s="11" t="s">
        <v>1145</v>
      </c>
      <c r="C270" s="11">
        <v>0.18</v>
      </c>
      <c r="D270" s="11">
        <v>0</v>
      </c>
      <c r="E270" s="11">
        <v>0</v>
      </c>
      <c r="F270" s="11">
        <v>-1.3504</v>
      </c>
      <c r="G270" s="11">
        <v>15</v>
      </c>
      <c r="H270" s="11">
        <v>1</v>
      </c>
      <c r="I270" s="11">
        <v>0</v>
      </c>
      <c r="J270" s="11">
        <v>1</v>
      </c>
    </row>
    <row r="271" spans="1:10" x14ac:dyDescent="0.45">
      <c r="A271" s="11">
        <v>333</v>
      </c>
      <c r="B271" s="11" t="s">
        <v>1146</v>
      </c>
      <c r="C271" s="11">
        <v>0.18</v>
      </c>
      <c r="D271" s="11">
        <v>0</v>
      </c>
      <c r="E271" s="11">
        <v>0</v>
      </c>
      <c r="F271" s="11">
        <v>0</v>
      </c>
      <c r="G271" s="11">
        <v>15</v>
      </c>
      <c r="H271" s="11">
        <v>1</v>
      </c>
      <c r="I271" s="11">
        <v>0</v>
      </c>
      <c r="J271" s="11">
        <v>1</v>
      </c>
    </row>
    <row r="272" spans="1:10" x14ac:dyDescent="0.45">
      <c r="A272" s="11">
        <v>334</v>
      </c>
      <c r="B272" s="11" t="s">
        <v>1147</v>
      </c>
      <c r="C272" s="11">
        <v>0.18</v>
      </c>
      <c r="D272" s="11">
        <v>0</v>
      </c>
      <c r="E272" s="11">
        <v>0</v>
      </c>
      <c r="F272" s="11">
        <v>-0.32800000000000001</v>
      </c>
      <c r="G272" s="11">
        <v>14</v>
      </c>
      <c r="H272" s="11">
        <v>1</v>
      </c>
      <c r="I272" s="11">
        <v>0</v>
      </c>
      <c r="J272" s="11">
        <v>1</v>
      </c>
    </row>
    <row r="273" spans="1:10" x14ac:dyDescent="0.45">
      <c r="A273" s="11">
        <v>335</v>
      </c>
      <c r="B273" s="11" t="s">
        <v>1148</v>
      </c>
      <c r="C273" s="11">
        <v>0.18</v>
      </c>
      <c r="D273" s="11">
        <v>0</v>
      </c>
      <c r="E273" s="11">
        <v>0</v>
      </c>
      <c r="F273" s="11">
        <v>0</v>
      </c>
      <c r="G273" s="11">
        <v>20</v>
      </c>
      <c r="H273" s="11">
        <v>1</v>
      </c>
      <c r="I273" s="11">
        <v>0</v>
      </c>
      <c r="J273" s="11">
        <v>1</v>
      </c>
    </row>
    <row r="274" spans="1:10" x14ac:dyDescent="0.45">
      <c r="A274" s="11">
        <v>336</v>
      </c>
      <c r="B274" s="11" t="s">
        <v>1149</v>
      </c>
      <c r="C274" s="11">
        <v>0.18</v>
      </c>
      <c r="D274" s="11">
        <v>0</v>
      </c>
      <c r="E274" s="11">
        <v>0</v>
      </c>
      <c r="F274" s="11">
        <v>0</v>
      </c>
      <c r="G274" s="11">
        <v>20</v>
      </c>
      <c r="H274" s="11">
        <v>1</v>
      </c>
      <c r="I274" s="11">
        <v>0</v>
      </c>
      <c r="J274" s="11">
        <v>1</v>
      </c>
    </row>
    <row r="275" spans="1:10" x14ac:dyDescent="0.45">
      <c r="A275" s="11">
        <v>337</v>
      </c>
      <c r="B275" s="11" t="s">
        <v>1150</v>
      </c>
      <c r="C275" s="11">
        <v>0.18</v>
      </c>
      <c r="D275" s="11">
        <v>0</v>
      </c>
      <c r="E275" s="11">
        <v>0</v>
      </c>
      <c r="F275" s="11">
        <v>0</v>
      </c>
      <c r="G275" s="11">
        <v>20</v>
      </c>
      <c r="H275" s="11">
        <v>1</v>
      </c>
      <c r="I275" s="11">
        <v>0</v>
      </c>
      <c r="J275" s="11">
        <v>0.5</v>
      </c>
    </row>
    <row r="276" spans="1:10" x14ac:dyDescent="0.45">
      <c r="A276" s="11">
        <v>337</v>
      </c>
      <c r="B276" s="11" t="s">
        <v>1150</v>
      </c>
      <c r="C276" s="11">
        <v>0.18</v>
      </c>
      <c r="D276" s="11">
        <v>0</v>
      </c>
      <c r="E276" s="11">
        <v>0</v>
      </c>
      <c r="F276" s="11">
        <v>0</v>
      </c>
      <c r="G276" s="11">
        <v>28</v>
      </c>
      <c r="H276" s="11">
        <v>1</v>
      </c>
      <c r="I276" s="11">
        <v>0</v>
      </c>
      <c r="J276" s="11">
        <v>0.5</v>
      </c>
    </row>
    <row r="277" spans="1:10" x14ac:dyDescent="0.45">
      <c r="A277" s="11">
        <v>338</v>
      </c>
      <c r="B277" s="11" t="s">
        <v>1151</v>
      </c>
      <c r="C277" s="11">
        <v>0.18</v>
      </c>
      <c r="D277" s="11">
        <v>0</v>
      </c>
      <c r="E277" s="11">
        <v>0</v>
      </c>
      <c r="F277" s="11">
        <v>0</v>
      </c>
      <c r="G277" s="11">
        <v>20</v>
      </c>
      <c r="H277" s="11">
        <v>1</v>
      </c>
      <c r="I277" s="11">
        <v>0</v>
      </c>
      <c r="J277" s="11">
        <v>1</v>
      </c>
    </row>
    <row r="278" spans="1:10" x14ac:dyDescent="0.45">
      <c r="A278" s="11">
        <v>401</v>
      </c>
      <c r="B278" s="11" t="s">
        <v>1152</v>
      </c>
      <c r="C278" s="11">
        <v>0.18</v>
      </c>
      <c r="D278" s="11">
        <v>0</v>
      </c>
      <c r="E278" s="11">
        <v>0</v>
      </c>
      <c r="F278" s="11">
        <v>0</v>
      </c>
      <c r="G278" s="11">
        <v>29</v>
      </c>
      <c r="H278" s="11">
        <v>1</v>
      </c>
      <c r="I278" s="11">
        <v>0</v>
      </c>
      <c r="J278" s="11">
        <v>0.5</v>
      </c>
    </row>
    <row r="279" spans="1:10" x14ac:dyDescent="0.45">
      <c r="A279" s="11">
        <v>401</v>
      </c>
      <c r="B279" s="11" t="s">
        <v>1152</v>
      </c>
      <c r="C279" s="11">
        <v>0.18</v>
      </c>
      <c r="D279" s="11">
        <v>0</v>
      </c>
      <c r="E279" s="11">
        <v>0</v>
      </c>
      <c r="F279" s="11">
        <v>0</v>
      </c>
      <c r="G279" s="11">
        <v>30</v>
      </c>
      <c r="H279" s="11">
        <v>1</v>
      </c>
      <c r="I279" s="11">
        <v>0</v>
      </c>
      <c r="J279" s="11">
        <v>0.5</v>
      </c>
    </row>
    <row r="280" spans="1:10" x14ac:dyDescent="0.45">
      <c r="A280" s="11">
        <v>402</v>
      </c>
      <c r="B280" s="11" t="s">
        <v>1153</v>
      </c>
      <c r="C280" s="11">
        <v>0.18</v>
      </c>
      <c r="D280" s="11">
        <v>0</v>
      </c>
      <c r="E280" s="11">
        <v>1</v>
      </c>
      <c r="F280" s="11">
        <v>0</v>
      </c>
      <c r="G280" s="11">
        <v>13</v>
      </c>
      <c r="H280" s="11">
        <v>1</v>
      </c>
      <c r="I280" s="11">
        <v>0.10764</v>
      </c>
      <c r="J280" s="11">
        <v>0.5</v>
      </c>
    </row>
    <row r="281" spans="1:10" x14ac:dyDescent="0.45">
      <c r="A281" s="11">
        <v>402</v>
      </c>
      <c r="B281" s="11" t="s">
        <v>1153</v>
      </c>
      <c r="C281" s="11">
        <v>0.18</v>
      </c>
      <c r="D281" s="11">
        <v>0</v>
      </c>
      <c r="E281" s="11">
        <v>1</v>
      </c>
      <c r="F281" s="11">
        <v>0</v>
      </c>
      <c r="G281" s="11">
        <v>17</v>
      </c>
      <c r="H281" s="11">
        <v>1</v>
      </c>
      <c r="I281" s="11">
        <v>0.10764</v>
      </c>
      <c r="J281" s="11">
        <v>0.5</v>
      </c>
    </row>
    <row r="282" spans="1:10" x14ac:dyDescent="0.45">
      <c r="A282" s="11">
        <v>403</v>
      </c>
      <c r="B282" s="11" t="s">
        <v>1154</v>
      </c>
      <c r="C282" s="11">
        <v>0.18</v>
      </c>
      <c r="D282" s="11">
        <v>0</v>
      </c>
      <c r="E282" s="11">
        <v>1</v>
      </c>
      <c r="F282" s="11">
        <v>0</v>
      </c>
      <c r="G282" s="11">
        <v>10</v>
      </c>
      <c r="H282" s="11">
        <v>1</v>
      </c>
      <c r="I282" s="11">
        <v>0.10946</v>
      </c>
      <c r="J282" s="11">
        <v>0.5</v>
      </c>
    </row>
    <row r="283" spans="1:10" x14ac:dyDescent="0.45">
      <c r="A283" s="11">
        <v>403</v>
      </c>
      <c r="B283" s="11" t="s">
        <v>1154</v>
      </c>
      <c r="C283" s="11">
        <v>0.18</v>
      </c>
      <c r="D283" s="11">
        <v>0</v>
      </c>
      <c r="E283" s="11">
        <v>1</v>
      </c>
      <c r="F283" s="11">
        <v>0</v>
      </c>
      <c r="G283" s="11">
        <v>11</v>
      </c>
      <c r="H283" s="11">
        <v>1</v>
      </c>
      <c r="I283" s="11">
        <v>0.10946</v>
      </c>
      <c r="J283" s="11">
        <v>0.5</v>
      </c>
    </row>
    <row r="284" spans="1:10" x14ac:dyDescent="0.45">
      <c r="A284" s="11">
        <v>404</v>
      </c>
      <c r="B284" s="11" t="s">
        <v>1155</v>
      </c>
      <c r="C284" s="11">
        <v>0.18</v>
      </c>
      <c r="D284" s="11">
        <v>0</v>
      </c>
      <c r="E284" s="11">
        <v>0</v>
      </c>
      <c r="F284" s="11">
        <v>0</v>
      </c>
      <c r="G284" s="11">
        <v>30</v>
      </c>
      <c r="H284" s="11">
        <v>1</v>
      </c>
      <c r="I284" s="11">
        <v>0</v>
      </c>
      <c r="J284" s="11">
        <v>1</v>
      </c>
    </row>
    <row r="285" spans="1:10" x14ac:dyDescent="0.45">
      <c r="A285" s="11">
        <v>405</v>
      </c>
      <c r="B285" s="11" t="s">
        <v>1156</v>
      </c>
      <c r="C285" s="11">
        <v>0</v>
      </c>
      <c r="D285" s="11">
        <v>1</v>
      </c>
      <c r="E285" s="11">
        <v>0</v>
      </c>
      <c r="F285" s="11">
        <v>0</v>
      </c>
      <c r="G285" s="11">
        <v>18</v>
      </c>
      <c r="H285" s="11">
        <v>0</v>
      </c>
      <c r="I285" s="11">
        <v>0</v>
      </c>
      <c r="J285" s="11">
        <v>1</v>
      </c>
    </row>
    <row r="286" spans="1:10" x14ac:dyDescent="0.45">
      <c r="A286" s="11">
        <v>406</v>
      </c>
      <c r="B286" s="11" t="s">
        <v>1157</v>
      </c>
      <c r="C286" s="11">
        <v>0</v>
      </c>
      <c r="D286" s="11">
        <v>1</v>
      </c>
      <c r="E286" s="11">
        <v>0</v>
      </c>
      <c r="F286" s="11">
        <v>0</v>
      </c>
      <c r="G286" s="11">
        <v>18</v>
      </c>
      <c r="H286" s="11">
        <v>0</v>
      </c>
      <c r="I286" s="11">
        <v>0</v>
      </c>
      <c r="J286" s="11">
        <v>1</v>
      </c>
    </row>
    <row r="287" spans="1:10" x14ac:dyDescent="0.45">
      <c r="A287" s="11">
        <v>407</v>
      </c>
      <c r="B287" s="11" t="s">
        <v>1158</v>
      </c>
      <c r="C287" s="11">
        <v>0</v>
      </c>
      <c r="D287" s="11">
        <v>1</v>
      </c>
      <c r="E287" s="11">
        <v>0</v>
      </c>
      <c r="F287" s="11">
        <v>0</v>
      </c>
      <c r="G287" s="11">
        <v>18</v>
      </c>
      <c r="H287" s="11">
        <v>0</v>
      </c>
      <c r="I287" s="11">
        <v>0</v>
      </c>
      <c r="J287" s="11">
        <v>1</v>
      </c>
    </row>
    <row r="288" spans="1:10" x14ac:dyDescent="0.45">
      <c r="A288" s="11">
        <v>408</v>
      </c>
      <c r="B288" s="11" t="s">
        <v>1159</v>
      </c>
      <c r="C288" s="11">
        <v>0</v>
      </c>
      <c r="D288" s="11">
        <v>1</v>
      </c>
      <c r="E288" s="11">
        <v>0</v>
      </c>
      <c r="F288" s="11">
        <v>-1.8727</v>
      </c>
      <c r="G288" s="11">
        <v>20</v>
      </c>
      <c r="H288" s="11">
        <v>1</v>
      </c>
      <c r="I288" s="11">
        <v>0</v>
      </c>
      <c r="J288" s="11">
        <v>1</v>
      </c>
    </row>
    <row r="289" spans="1:10" x14ac:dyDescent="0.45">
      <c r="A289" s="11">
        <v>409</v>
      </c>
      <c r="B289" s="11" t="s">
        <v>1160</v>
      </c>
      <c r="C289" s="11">
        <v>0.18</v>
      </c>
      <c r="D289" s="11">
        <v>0</v>
      </c>
      <c r="E289" s="11">
        <v>0</v>
      </c>
      <c r="F289" s="11">
        <v>0</v>
      </c>
      <c r="G289" s="11">
        <v>20</v>
      </c>
      <c r="H289" s="11">
        <v>1</v>
      </c>
      <c r="I289" s="11">
        <v>0</v>
      </c>
      <c r="J289" s="11">
        <v>1</v>
      </c>
    </row>
    <row r="290" spans="1:10" x14ac:dyDescent="0.45">
      <c r="A290" s="11">
        <v>410</v>
      </c>
      <c r="B290" s="11" t="s">
        <v>1161</v>
      </c>
      <c r="C290" s="11">
        <v>0.18</v>
      </c>
      <c r="D290" s="11">
        <v>0</v>
      </c>
      <c r="E290" s="11">
        <v>1</v>
      </c>
      <c r="F290" s="11">
        <v>0</v>
      </c>
      <c r="G290" s="11">
        <v>13</v>
      </c>
      <c r="H290" s="11">
        <v>1</v>
      </c>
      <c r="I290" s="11">
        <v>0.20424</v>
      </c>
      <c r="J290" s="11">
        <v>1</v>
      </c>
    </row>
    <row r="291" spans="1:10" x14ac:dyDescent="0.45">
      <c r="A291" s="11">
        <v>411</v>
      </c>
      <c r="B291" s="11" t="s">
        <v>1162</v>
      </c>
      <c r="C291" s="11">
        <v>0.18</v>
      </c>
      <c r="D291" s="11">
        <v>0</v>
      </c>
      <c r="E291" s="11">
        <v>0</v>
      </c>
      <c r="F291" s="11">
        <v>0</v>
      </c>
      <c r="G291" s="11">
        <v>6</v>
      </c>
      <c r="H291" s="11">
        <v>1</v>
      </c>
      <c r="I291" s="11">
        <v>0</v>
      </c>
      <c r="J291" s="11">
        <v>0.33333332999999998</v>
      </c>
    </row>
    <row r="292" spans="1:10" x14ac:dyDescent="0.45">
      <c r="A292" s="11">
        <v>411</v>
      </c>
      <c r="B292" s="11" t="s">
        <v>1162</v>
      </c>
      <c r="C292" s="11">
        <v>0.18</v>
      </c>
      <c r="D292" s="11">
        <v>0</v>
      </c>
      <c r="E292" s="11">
        <v>0</v>
      </c>
      <c r="F292" s="11">
        <v>0</v>
      </c>
      <c r="G292" s="11">
        <v>13</v>
      </c>
      <c r="H292" s="11">
        <v>1</v>
      </c>
      <c r="I292" s="11">
        <v>0</v>
      </c>
      <c r="J292" s="11">
        <v>0.33333332999999998</v>
      </c>
    </row>
    <row r="293" spans="1:10" x14ac:dyDescent="0.45">
      <c r="A293" s="11">
        <v>411</v>
      </c>
      <c r="B293" s="11" t="s">
        <v>1162</v>
      </c>
      <c r="C293" s="11">
        <v>0.18</v>
      </c>
      <c r="D293" s="11">
        <v>0</v>
      </c>
      <c r="E293" s="11">
        <v>0</v>
      </c>
      <c r="F293" s="11">
        <v>0</v>
      </c>
      <c r="G293" s="11">
        <v>30</v>
      </c>
      <c r="H293" s="11">
        <v>1</v>
      </c>
      <c r="I293" s="11">
        <v>0</v>
      </c>
      <c r="J293" s="11">
        <v>0.33333332999999998</v>
      </c>
    </row>
    <row r="294" spans="1:10" x14ac:dyDescent="0.45">
      <c r="A294" s="11">
        <v>412</v>
      </c>
      <c r="B294" s="11" t="s">
        <v>1163</v>
      </c>
      <c r="C294" s="11">
        <v>0.18</v>
      </c>
      <c r="D294" s="11">
        <v>0</v>
      </c>
      <c r="E294" s="11">
        <v>0</v>
      </c>
      <c r="F294" s="11">
        <v>0</v>
      </c>
      <c r="G294" s="11">
        <v>28</v>
      </c>
      <c r="H294" s="11">
        <v>1</v>
      </c>
      <c r="I294" s="11">
        <v>0</v>
      </c>
      <c r="J294" s="11">
        <v>1</v>
      </c>
    </row>
    <row r="295" spans="1:10" x14ac:dyDescent="0.45">
      <c r="A295" s="11">
        <v>413</v>
      </c>
      <c r="B295" s="11" t="s">
        <v>1164</v>
      </c>
      <c r="C295" s="11">
        <v>0.18</v>
      </c>
      <c r="D295" s="11">
        <v>0</v>
      </c>
      <c r="E295" s="11">
        <v>0</v>
      </c>
      <c r="F295" s="11">
        <v>0</v>
      </c>
      <c r="G295" s="11">
        <v>28</v>
      </c>
      <c r="H295" s="11">
        <v>1</v>
      </c>
      <c r="I295" s="11">
        <v>0</v>
      </c>
      <c r="J295" s="11">
        <v>1</v>
      </c>
    </row>
    <row r="296" spans="1:10" x14ac:dyDescent="0.45">
      <c r="A296" s="11">
        <v>414</v>
      </c>
      <c r="B296" s="11" t="s">
        <v>1165</v>
      </c>
      <c r="C296" s="11">
        <v>0.18</v>
      </c>
      <c r="D296" s="11">
        <v>0</v>
      </c>
      <c r="E296" s="11">
        <v>0</v>
      </c>
      <c r="F296" s="11">
        <v>0</v>
      </c>
      <c r="G296" s="11">
        <v>28</v>
      </c>
      <c r="H296" s="11">
        <v>1</v>
      </c>
      <c r="I296" s="11">
        <v>0</v>
      </c>
      <c r="J296" s="11">
        <v>1</v>
      </c>
    </row>
    <row r="297" spans="1:10" x14ac:dyDescent="0.45">
      <c r="A297" s="11">
        <v>415</v>
      </c>
      <c r="B297" s="11" t="s">
        <v>1166</v>
      </c>
      <c r="C297" s="11">
        <v>0.18</v>
      </c>
      <c r="D297" s="11">
        <v>0</v>
      </c>
      <c r="E297" s="11">
        <v>1</v>
      </c>
      <c r="F297" s="11">
        <v>0</v>
      </c>
      <c r="G297" s="11">
        <v>13</v>
      </c>
      <c r="H297" s="11">
        <v>1</v>
      </c>
      <c r="I297" s="11">
        <v>0.10689</v>
      </c>
      <c r="J297" s="11">
        <v>0.33333332999999998</v>
      </c>
    </row>
    <row r="298" spans="1:10" x14ac:dyDescent="0.45">
      <c r="A298" s="11">
        <v>415</v>
      </c>
      <c r="B298" s="11" t="s">
        <v>1166</v>
      </c>
      <c r="C298" s="11">
        <v>0.18</v>
      </c>
      <c r="D298" s="11">
        <v>0</v>
      </c>
      <c r="E298" s="11">
        <v>1</v>
      </c>
      <c r="F298" s="11">
        <v>0</v>
      </c>
      <c r="G298" s="11">
        <v>27</v>
      </c>
      <c r="H298" s="11">
        <v>1</v>
      </c>
      <c r="I298" s="11">
        <v>0.10689</v>
      </c>
      <c r="J298" s="11">
        <v>0.33333332999999998</v>
      </c>
    </row>
    <row r="299" spans="1:10" x14ac:dyDescent="0.45">
      <c r="A299" s="11">
        <v>415</v>
      </c>
      <c r="B299" s="11" t="s">
        <v>1166</v>
      </c>
      <c r="C299" s="11">
        <v>0.18</v>
      </c>
      <c r="D299" s="11">
        <v>0</v>
      </c>
      <c r="E299" s="11">
        <v>1</v>
      </c>
      <c r="F299" s="11">
        <v>0</v>
      </c>
      <c r="G299" s="11">
        <v>17</v>
      </c>
      <c r="H299" s="11">
        <v>1</v>
      </c>
      <c r="I299" s="11">
        <v>0.10689</v>
      </c>
      <c r="J299" s="11">
        <v>0.33333332999999998</v>
      </c>
    </row>
    <row r="300" spans="1:10" x14ac:dyDescent="0.45">
      <c r="A300" s="11">
        <v>416</v>
      </c>
      <c r="B300" s="11" t="s">
        <v>1167</v>
      </c>
      <c r="C300" s="11">
        <v>0</v>
      </c>
      <c r="D300" s="11">
        <v>1</v>
      </c>
      <c r="E300" s="11">
        <v>1</v>
      </c>
      <c r="F300" s="11">
        <v>-1.6700999999999999</v>
      </c>
      <c r="G300" s="11">
        <v>11</v>
      </c>
      <c r="H300" s="11">
        <v>1</v>
      </c>
      <c r="I300" s="11">
        <v>0.01</v>
      </c>
      <c r="J300" s="11">
        <v>0.5</v>
      </c>
    </row>
    <row r="301" spans="1:10" x14ac:dyDescent="0.45">
      <c r="A301" s="11">
        <v>416</v>
      </c>
      <c r="B301" s="11" t="s">
        <v>1167</v>
      </c>
      <c r="C301" s="11">
        <v>0</v>
      </c>
      <c r="D301" s="11">
        <v>1</v>
      </c>
      <c r="E301" s="11">
        <v>1</v>
      </c>
      <c r="F301" s="11">
        <v>-1.6700999999999999</v>
      </c>
      <c r="G301" s="11">
        <v>27</v>
      </c>
      <c r="H301" s="11">
        <v>1</v>
      </c>
      <c r="I301" s="11">
        <v>0.01</v>
      </c>
      <c r="J301" s="11">
        <v>0.5</v>
      </c>
    </row>
    <row r="302" spans="1:10" x14ac:dyDescent="0.45">
      <c r="A302" s="11">
        <v>417</v>
      </c>
      <c r="B302" s="11" t="s">
        <v>1168</v>
      </c>
      <c r="C302" s="11">
        <v>0.18</v>
      </c>
      <c r="D302" s="11">
        <v>0</v>
      </c>
      <c r="E302" s="11">
        <v>1</v>
      </c>
      <c r="F302" s="11">
        <v>0</v>
      </c>
      <c r="G302" s="11">
        <v>11</v>
      </c>
      <c r="H302" s="11">
        <v>1</v>
      </c>
      <c r="I302" s="11">
        <v>1.359E-2</v>
      </c>
      <c r="J302" s="11">
        <v>0.5</v>
      </c>
    </row>
    <row r="303" spans="1:10" x14ac:dyDescent="0.45">
      <c r="A303" s="11">
        <v>417</v>
      </c>
      <c r="B303" s="11" t="s">
        <v>1168</v>
      </c>
      <c r="C303" s="11">
        <v>0.18</v>
      </c>
      <c r="D303" s="11">
        <v>0</v>
      </c>
      <c r="E303" s="11">
        <v>1</v>
      </c>
      <c r="F303" s="11">
        <v>0</v>
      </c>
      <c r="G303" s="11">
        <v>13</v>
      </c>
      <c r="H303" s="11">
        <v>1</v>
      </c>
      <c r="I303" s="11">
        <v>1.359E-2</v>
      </c>
      <c r="J303" s="11">
        <v>0.5</v>
      </c>
    </row>
    <row r="304" spans="1:10" x14ac:dyDescent="0.45">
      <c r="A304" s="11">
        <v>418</v>
      </c>
      <c r="B304" s="11" t="s">
        <v>1169</v>
      </c>
      <c r="C304" s="11">
        <v>0.18</v>
      </c>
      <c r="D304" s="11">
        <v>0</v>
      </c>
      <c r="E304" s="11">
        <v>1</v>
      </c>
      <c r="F304" s="11">
        <v>0</v>
      </c>
      <c r="G304" s="11">
        <v>11</v>
      </c>
      <c r="H304" s="11">
        <v>1</v>
      </c>
      <c r="I304" s="11">
        <v>6.1109999999999998E-2</v>
      </c>
      <c r="J304" s="11">
        <v>0.5</v>
      </c>
    </row>
    <row r="305" spans="1:10" x14ac:dyDescent="0.45">
      <c r="A305" s="11">
        <v>418</v>
      </c>
      <c r="B305" s="11" t="s">
        <v>1169</v>
      </c>
      <c r="C305" s="11">
        <v>0.18</v>
      </c>
      <c r="D305" s="11">
        <v>0</v>
      </c>
      <c r="E305" s="11">
        <v>1</v>
      </c>
      <c r="F305" s="11">
        <v>0</v>
      </c>
      <c r="G305" s="11">
        <v>13</v>
      </c>
      <c r="H305" s="11">
        <v>1</v>
      </c>
      <c r="I305" s="11">
        <v>6.1109999999999998E-2</v>
      </c>
      <c r="J305" s="11">
        <v>0.5</v>
      </c>
    </row>
    <row r="306" spans="1:10" x14ac:dyDescent="0.45">
      <c r="A306" s="11">
        <v>419</v>
      </c>
      <c r="B306" s="11" t="s">
        <v>1170</v>
      </c>
      <c r="C306" s="11">
        <v>0.18</v>
      </c>
      <c r="D306" s="11">
        <v>0</v>
      </c>
      <c r="E306" s="11">
        <v>1</v>
      </c>
      <c r="F306" s="11">
        <v>-1.6700999999999999</v>
      </c>
      <c r="G306" s="11">
        <v>11</v>
      </c>
      <c r="H306" s="11">
        <v>1</v>
      </c>
      <c r="I306" s="11">
        <v>0.01</v>
      </c>
      <c r="J306" s="11">
        <v>0.5</v>
      </c>
    </row>
    <row r="307" spans="1:10" x14ac:dyDescent="0.45">
      <c r="A307" s="11">
        <v>419</v>
      </c>
      <c r="B307" s="11" t="s">
        <v>1170</v>
      </c>
      <c r="C307" s="11">
        <v>0.18</v>
      </c>
      <c r="D307" s="11">
        <v>0</v>
      </c>
      <c r="E307" s="11">
        <v>1</v>
      </c>
      <c r="F307" s="11">
        <v>-1.6700999999999999</v>
      </c>
      <c r="G307" s="11">
        <v>27</v>
      </c>
      <c r="H307" s="11">
        <v>1</v>
      </c>
      <c r="I307" s="11">
        <v>0.01</v>
      </c>
      <c r="J307" s="11">
        <v>0.5</v>
      </c>
    </row>
    <row r="308" spans="1:10" x14ac:dyDescent="0.45">
      <c r="A308" s="11">
        <v>420</v>
      </c>
      <c r="B308" s="11" t="s">
        <v>1171</v>
      </c>
      <c r="C308" s="11">
        <v>0.18</v>
      </c>
      <c r="D308" s="11">
        <v>0</v>
      </c>
      <c r="E308" s="11">
        <v>0</v>
      </c>
      <c r="F308" s="11">
        <v>0</v>
      </c>
      <c r="G308" s="11">
        <v>17</v>
      </c>
      <c r="H308" s="11">
        <v>1</v>
      </c>
      <c r="I308" s="11">
        <v>0</v>
      </c>
      <c r="J308" s="11">
        <v>1</v>
      </c>
    </row>
    <row r="309" spans="1:10" x14ac:dyDescent="0.45">
      <c r="A309" s="11">
        <v>421</v>
      </c>
      <c r="B309" s="11" t="s">
        <v>1172</v>
      </c>
      <c r="C309" s="11">
        <v>0.18</v>
      </c>
      <c r="D309" s="11">
        <v>0</v>
      </c>
      <c r="E309" s="11">
        <v>0</v>
      </c>
      <c r="F309" s="11">
        <v>0</v>
      </c>
      <c r="G309" s="11">
        <v>18</v>
      </c>
      <c r="H309" s="11">
        <v>1</v>
      </c>
      <c r="I309" s="11">
        <v>0</v>
      </c>
      <c r="J309" s="11">
        <v>1</v>
      </c>
    </row>
    <row r="310" spans="1:10" x14ac:dyDescent="0.45">
      <c r="A310" s="11">
        <v>501</v>
      </c>
      <c r="B310" s="11" t="s">
        <v>1173</v>
      </c>
      <c r="C310" s="11">
        <v>0.18</v>
      </c>
      <c r="D310" s="11">
        <v>0</v>
      </c>
      <c r="E310" s="11">
        <v>1</v>
      </c>
      <c r="F310" s="11">
        <v>0</v>
      </c>
      <c r="G310" s="11">
        <v>13</v>
      </c>
      <c r="H310" s="11">
        <v>1</v>
      </c>
      <c r="I310" s="11">
        <v>0.10689</v>
      </c>
      <c r="J310" s="11">
        <v>0.5</v>
      </c>
    </row>
    <row r="311" spans="1:10" x14ac:dyDescent="0.45">
      <c r="A311" s="11">
        <v>501</v>
      </c>
      <c r="B311" s="11" t="s">
        <v>1173</v>
      </c>
      <c r="C311" s="11">
        <v>0.18</v>
      </c>
      <c r="D311" s="11">
        <v>0</v>
      </c>
      <c r="E311" s="11">
        <v>1</v>
      </c>
      <c r="F311" s="11">
        <v>0</v>
      </c>
      <c r="G311" s="11">
        <v>17</v>
      </c>
      <c r="H311" s="11">
        <v>1</v>
      </c>
      <c r="I311" s="11">
        <v>0.10689</v>
      </c>
      <c r="J311" s="11">
        <v>0.5</v>
      </c>
    </row>
    <row r="312" spans="1:10" x14ac:dyDescent="0.45">
      <c r="A312" s="11">
        <v>502</v>
      </c>
      <c r="B312" s="11" t="s">
        <v>1174</v>
      </c>
      <c r="C312" s="11">
        <v>0.18</v>
      </c>
      <c r="D312" s="11">
        <v>0</v>
      </c>
      <c r="E312" s="11">
        <v>1</v>
      </c>
      <c r="F312" s="11">
        <v>0</v>
      </c>
      <c r="G312" s="11">
        <v>13</v>
      </c>
      <c r="H312" s="11">
        <v>1</v>
      </c>
      <c r="I312" s="11">
        <v>1.455E-2</v>
      </c>
      <c r="J312" s="11">
        <v>0.5</v>
      </c>
    </row>
    <row r="313" spans="1:10" x14ac:dyDescent="0.45">
      <c r="A313" s="11">
        <v>502</v>
      </c>
      <c r="B313" s="11" t="s">
        <v>1174</v>
      </c>
      <c r="C313" s="11">
        <v>0.18</v>
      </c>
      <c r="D313" s="11">
        <v>0</v>
      </c>
      <c r="E313" s="11">
        <v>1</v>
      </c>
      <c r="F313" s="11">
        <v>0</v>
      </c>
      <c r="G313" s="11">
        <v>17</v>
      </c>
      <c r="H313" s="11">
        <v>1</v>
      </c>
      <c r="I313" s="11">
        <v>1.455E-2</v>
      </c>
      <c r="J313" s="11">
        <v>0.5</v>
      </c>
    </row>
    <row r="314" spans="1:10" x14ac:dyDescent="0.45">
      <c r="A314" s="11">
        <v>503</v>
      </c>
      <c r="B314" s="11" t="s">
        <v>1175</v>
      </c>
      <c r="C314" s="11">
        <v>0.18</v>
      </c>
      <c r="D314" s="11">
        <v>0</v>
      </c>
      <c r="E314" s="11">
        <v>1</v>
      </c>
      <c r="F314" s="11">
        <v>0</v>
      </c>
      <c r="G314" s="11">
        <v>13</v>
      </c>
      <c r="H314" s="11">
        <v>1</v>
      </c>
      <c r="I314" s="11">
        <v>8.2199999999999995E-2</v>
      </c>
      <c r="J314" s="11">
        <v>0.5</v>
      </c>
    </row>
    <row r="315" spans="1:10" x14ac:dyDescent="0.45">
      <c r="A315" s="11">
        <v>503</v>
      </c>
      <c r="B315" s="11" t="s">
        <v>1175</v>
      </c>
      <c r="C315" s="11">
        <v>0.18</v>
      </c>
      <c r="D315" s="11">
        <v>0</v>
      </c>
      <c r="E315" s="11">
        <v>1</v>
      </c>
      <c r="F315" s="11">
        <v>0</v>
      </c>
      <c r="G315" s="11">
        <v>17</v>
      </c>
      <c r="H315" s="11">
        <v>1</v>
      </c>
      <c r="I315" s="11">
        <v>8.2199999999999995E-2</v>
      </c>
      <c r="J315" s="11">
        <v>0.5</v>
      </c>
    </row>
    <row r="316" spans="1:10" x14ac:dyDescent="0.45">
      <c r="A316" s="11">
        <v>504</v>
      </c>
      <c r="B316" s="11" t="s">
        <v>1176</v>
      </c>
      <c r="C316" s="11">
        <v>0.18</v>
      </c>
      <c r="D316" s="11">
        <v>0</v>
      </c>
      <c r="E316" s="11">
        <v>1</v>
      </c>
      <c r="F316" s="11">
        <v>0</v>
      </c>
      <c r="G316" s="11">
        <v>13</v>
      </c>
      <c r="H316" s="11">
        <v>1</v>
      </c>
      <c r="I316" s="11">
        <v>1.0699999999999999E-2</v>
      </c>
      <c r="J316" s="11">
        <v>0.5</v>
      </c>
    </row>
    <row r="317" spans="1:10" x14ac:dyDescent="0.45">
      <c r="A317" s="11">
        <v>504</v>
      </c>
      <c r="B317" s="11" t="s">
        <v>1176</v>
      </c>
      <c r="C317" s="11">
        <v>0.18</v>
      </c>
      <c r="D317" s="11">
        <v>0</v>
      </c>
      <c r="E317" s="11">
        <v>1</v>
      </c>
      <c r="F317" s="11">
        <v>0</v>
      </c>
      <c r="G317" s="11">
        <v>17</v>
      </c>
      <c r="H317" s="11">
        <v>1</v>
      </c>
      <c r="I317" s="11">
        <v>1.0699999999999999E-2</v>
      </c>
      <c r="J317" s="11">
        <v>0.5</v>
      </c>
    </row>
    <row r="318" spans="1:10" x14ac:dyDescent="0.45">
      <c r="A318" s="11">
        <v>505</v>
      </c>
      <c r="B318" s="11" t="s">
        <v>1177</v>
      </c>
      <c r="C318" s="11">
        <v>0.18</v>
      </c>
      <c r="D318" s="11">
        <v>0</v>
      </c>
      <c r="E318" s="11">
        <v>1</v>
      </c>
      <c r="F318" s="11">
        <v>0</v>
      </c>
      <c r="G318" s="11">
        <v>13</v>
      </c>
      <c r="H318" s="11">
        <v>1</v>
      </c>
      <c r="I318" s="11">
        <v>2.801E-2</v>
      </c>
      <c r="J318" s="11">
        <v>0.5</v>
      </c>
    </row>
    <row r="319" spans="1:10" x14ac:dyDescent="0.45">
      <c r="A319" s="11">
        <v>505</v>
      </c>
      <c r="B319" s="11" t="s">
        <v>1177</v>
      </c>
      <c r="C319" s="11">
        <v>0.18</v>
      </c>
      <c r="D319" s="11">
        <v>0</v>
      </c>
      <c r="E319" s="11">
        <v>1</v>
      </c>
      <c r="F319" s="11">
        <v>0</v>
      </c>
      <c r="G319" s="11">
        <v>17</v>
      </c>
      <c r="H319" s="11">
        <v>1</v>
      </c>
      <c r="I319" s="11">
        <v>2.801E-2</v>
      </c>
      <c r="J319" s="11">
        <v>0.5</v>
      </c>
    </row>
    <row r="320" spans="1:10" x14ac:dyDescent="0.45">
      <c r="A320" s="11">
        <v>506</v>
      </c>
      <c r="B320" s="11" t="s">
        <v>1178</v>
      </c>
      <c r="C320" s="11">
        <v>0.18</v>
      </c>
      <c r="D320" s="11">
        <v>0</v>
      </c>
      <c r="E320" s="11">
        <v>1</v>
      </c>
      <c r="F320" s="11">
        <v>0</v>
      </c>
      <c r="G320" s="11">
        <v>13</v>
      </c>
      <c r="H320" s="11">
        <v>1</v>
      </c>
      <c r="I320" s="11">
        <v>4.7039999999999998E-2</v>
      </c>
      <c r="J320" s="11">
        <v>0.5</v>
      </c>
    </row>
    <row r="321" spans="1:10" x14ac:dyDescent="0.45">
      <c r="A321" s="11">
        <v>506</v>
      </c>
      <c r="B321" s="11" t="s">
        <v>1178</v>
      </c>
      <c r="C321" s="11">
        <v>0.18</v>
      </c>
      <c r="D321" s="11">
        <v>0</v>
      </c>
      <c r="E321" s="11">
        <v>1</v>
      </c>
      <c r="F321" s="11">
        <v>0</v>
      </c>
      <c r="G321" s="11">
        <v>17</v>
      </c>
      <c r="H321" s="11">
        <v>1</v>
      </c>
      <c r="I321" s="11">
        <v>4.7039999999999998E-2</v>
      </c>
      <c r="J321" s="11">
        <v>0.5</v>
      </c>
    </row>
    <row r="322" spans="1:10" x14ac:dyDescent="0.45">
      <c r="A322" s="11">
        <v>507</v>
      </c>
      <c r="B322" s="11" t="s">
        <v>1179</v>
      </c>
      <c r="C322" s="11">
        <v>0.18</v>
      </c>
      <c r="D322" s="11">
        <v>0</v>
      </c>
      <c r="E322" s="11">
        <v>0</v>
      </c>
      <c r="F322" s="11">
        <v>0</v>
      </c>
      <c r="G322" s="11">
        <v>13</v>
      </c>
      <c r="H322" s="11">
        <v>1</v>
      </c>
      <c r="I322" s="11">
        <v>0</v>
      </c>
      <c r="J322" s="11">
        <v>0.5</v>
      </c>
    </row>
    <row r="323" spans="1:10" x14ac:dyDescent="0.45">
      <c r="A323" s="11">
        <v>507</v>
      </c>
      <c r="B323" s="11" t="s">
        <v>1179</v>
      </c>
      <c r="C323" s="11">
        <v>0.18</v>
      </c>
      <c r="D323" s="11">
        <v>0</v>
      </c>
      <c r="E323" s="11">
        <v>0</v>
      </c>
      <c r="F323" s="11">
        <v>0</v>
      </c>
      <c r="G323" s="11">
        <v>17</v>
      </c>
      <c r="H323" s="11">
        <v>1</v>
      </c>
      <c r="I323" s="11">
        <v>0</v>
      </c>
      <c r="J323" s="11">
        <v>0.5</v>
      </c>
    </row>
    <row r="324" spans="1:10" x14ac:dyDescent="0.45">
      <c r="A324" s="11">
        <v>508</v>
      </c>
      <c r="B324" s="11" t="s">
        <v>1180</v>
      </c>
      <c r="C324" s="11">
        <v>0.18</v>
      </c>
      <c r="D324" s="11">
        <v>0</v>
      </c>
      <c r="E324" s="11">
        <v>0</v>
      </c>
      <c r="F324" s="11">
        <v>0</v>
      </c>
      <c r="G324" s="11">
        <v>13</v>
      </c>
      <c r="H324" s="11">
        <v>1</v>
      </c>
      <c r="I324" s="11">
        <v>0</v>
      </c>
      <c r="J324" s="11">
        <v>0.5</v>
      </c>
    </row>
    <row r="325" spans="1:10" x14ac:dyDescent="0.45">
      <c r="A325" s="11">
        <v>508</v>
      </c>
      <c r="B325" s="11" t="s">
        <v>1180</v>
      </c>
      <c r="C325" s="11">
        <v>0.18</v>
      </c>
      <c r="D325" s="11">
        <v>0</v>
      </c>
      <c r="E325" s="11">
        <v>0</v>
      </c>
      <c r="F325" s="11">
        <v>0</v>
      </c>
      <c r="G325" s="11">
        <v>17</v>
      </c>
      <c r="H325" s="11">
        <v>1</v>
      </c>
      <c r="I325" s="11">
        <v>0</v>
      </c>
      <c r="J325" s="11">
        <v>0.5</v>
      </c>
    </row>
    <row r="326" spans="1:10" x14ac:dyDescent="0.45">
      <c r="A326" s="11">
        <v>509</v>
      </c>
      <c r="B326" s="11" t="s">
        <v>1181</v>
      </c>
      <c r="C326" s="11">
        <v>0.18</v>
      </c>
      <c r="D326" s="11">
        <v>0</v>
      </c>
      <c r="E326" s="11">
        <v>0</v>
      </c>
      <c r="F326" s="11">
        <v>0</v>
      </c>
      <c r="G326" s="11">
        <v>13</v>
      </c>
      <c r="H326" s="11">
        <v>1</v>
      </c>
      <c r="I326" s="11">
        <v>0</v>
      </c>
      <c r="J326" s="11">
        <v>0.5</v>
      </c>
    </row>
    <row r="327" spans="1:10" x14ac:dyDescent="0.45">
      <c r="A327" s="11">
        <v>509</v>
      </c>
      <c r="B327" s="11" t="s">
        <v>1181</v>
      </c>
      <c r="C327" s="11">
        <v>0.18</v>
      </c>
      <c r="D327" s="11">
        <v>0</v>
      </c>
      <c r="E327" s="11">
        <v>0</v>
      </c>
      <c r="F327" s="11">
        <v>0</v>
      </c>
      <c r="G327" s="11">
        <v>17</v>
      </c>
      <c r="H327" s="11">
        <v>1</v>
      </c>
      <c r="I327" s="11">
        <v>0</v>
      </c>
      <c r="J327" s="11">
        <v>0.5</v>
      </c>
    </row>
    <row r="328" spans="1:10" x14ac:dyDescent="0.45">
      <c r="A328" s="11">
        <v>510</v>
      </c>
      <c r="B328" s="11" t="s">
        <v>1182</v>
      </c>
      <c r="C328" s="11">
        <v>0.18</v>
      </c>
      <c r="D328" s="11">
        <v>0</v>
      </c>
      <c r="E328" s="11">
        <v>1</v>
      </c>
      <c r="F328" s="11">
        <v>0</v>
      </c>
      <c r="G328" s="11">
        <v>13</v>
      </c>
      <c r="H328" s="11">
        <v>1</v>
      </c>
      <c r="I328" s="11">
        <v>5.0189999999999999E-2</v>
      </c>
      <c r="J328" s="11">
        <v>0.5</v>
      </c>
    </row>
    <row r="329" spans="1:10" x14ac:dyDescent="0.45">
      <c r="A329" s="11">
        <v>510</v>
      </c>
      <c r="B329" s="11" t="s">
        <v>1182</v>
      </c>
      <c r="C329" s="11">
        <v>0.18</v>
      </c>
      <c r="D329" s="11">
        <v>0</v>
      </c>
      <c r="E329" s="11">
        <v>1</v>
      </c>
      <c r="F329" s="11">
        <v>0</v>
      </c>
      <c r="G329" s="11">
        <v>17</v>
      </c>
      <c r="H329" s="11">
        <v>1</v>
      </c>
      <c r="I329" s="11">
        <v>5.0189999999999999E-2</v>
      </c>
      <c r="J329" s="11">
        <v>0.5</v>
      </c>
    </row>
    <row r="330" spans="1:10" x14ac:dyDescent="0.45">
      <c r="A330" s="11">
        <v>511</v>
      </c>
      <c r="B330" s="11" t="s">
        <v>1183</v>
      </c>
      <c r="C330" s="11">
        <v>0.18</v>
      </c>
      <c r="D330" s="11">
        <v>0</v>
      </c>
      <c r="E330" s="11">
        <v>1</v>
      </c>
      <c r="F330" s="11">
        <v>0</v>
      </c>
      <c r="G330" s="11">
        <v>13</v>
      </c>
      <c r="H330" s="11">
        <v>1</v>
      </c>
      <c r="I330" s="11">
        <v>5.0189999999999999E-2</v>
      </c>
      <c r="J330" s="11">
        <v>0.5</v>
      </c>
    </row>
    <row r="331" spans="1:10" x14ac:dyDescent="0.45">
      <c r="A331" s="11">
        <v>511</v>
      </c>
      <c r="B331" s="11" t="s">
        <v>1183</v>
      </c>
      <c r="C331" s="11">
        <v>0.18</v>
      </c>
      <c r="D331" s="11">
        <v>0</v>
      </c>
      <c r="E331" s="11">
        <v>1</v>
      </c>
      <c r="F331" s="11">
        <v>0</v>
      </c>
      <c r="G331" s="11">
        <v>17</v>
      </c>
      <c r="H331" s="11">
        <v>1</v>
      </c>
      <c r="I331" s="11">
        <v>5.0189999999999999E-2</v>
      </c>
      <c r="J331" s="11">
        <v>0.5</v>
      </c>
    </row>
    <row r="332" spans="1:10" x14ac:dyDescent="0.45">
      <c r="A332" s="11">
        <v>512</v>
      </c>
      <c r="B332" s="11" t="s">
        <v>1184</v>
      </c>
      <c r="C332" s="11">
        <v>0.18</v>
      </c>
      <c r="D332" s="11">
        <v>0</v>
      </c>
      <c r="E332" s="11">
        <v>1</v>
      </c>
      <c r="F332" s="11">
        <v>0</v>
      </c>
      <c r="G332" s="11">
        <v>13</v>
      </c>
      <c r="H332" s="11">
        <v>1</v>
      </c>
      <c r="I332" s="11">
        <v>5.0189999999999999E-2</v>
      </c>
      <c r="J332" s="11">
        <v>0.5</v>
      </c>
    </row>
    <row r="333" spans="1:10" x14ac:dyDescent="0.45">
      <c r="A333" s="11">
        <v>512</v>
      </c>
      <c r="B333" s="11" t="s">
        <v>1184</v>
      </c>
      <c r="C333" s="11">
        <v>0.18</v>
      </c>
      <c r="D333" s="11">
        <v>0</v>
      </c>
      <c r="E333" s="11">
        <v>1</v>
      </c>
      <c r="F333" s="11">
        <v>0</v>
      </c>
      <c r="G333" s="11">
        <v>17</v>
      </c>
      <c r="H333" s="11">
        <v>1</v>
      </c>
      <c r="I333" s="11">
        <v>5.0189999999999999E-2</v>
      </c>
      <c r="J333" s="11">
        <v>0.5</v>
      </c>
    </row>
    <row r="334" spans="1:10" x14ac:dyDescent="0.45">
      <c r="A334" s="11">
        <v>521</v>
      </c>
      <c r="B334" s="11" t="s">
        <v>1185</v>
      </c>
      <c r="C334" s="11">
        <v>0.18</v>
      </c>
      <c r="D334" s="11">
        <v>0</v>
      </c>
      <c r="E334" s="11">
        <v>0</v>
      </c>
      <c r="F334" s="11">
        <v>0</v>
      </c>
      <c r="G334" s="11">
        <v>13</v>
      </c>
      <c r="H334" s="11">
        <v>1</v>
      </c>
      <c r="I334" s="11">
        <v>0</v>
      </c>
      <c r="J334" s="11">
        <v>0.5</v>
      </c>
    </row>
    <row r="335" spans="1:10" x14ac:dyDescent="0.45">
      <c r="A335" s="11">
        <v>521</v>
      </c>
      <c r="B335" s="11" t="s">
        <v>1185</v>
      </c>
      <c r="C335" s="11">
        <v>0.18</v>
      </c>
      <c r="D335" s="11">
        <v>0</v>
      </c>
      <c r="E335" s="11">
        <v>0</v>
      </c>
      <c r="F335" s="11">
        <v>0</v>
      </c>
      <c r="G335" s="11">
        <v>17</v>
      </c>
      <c r="H335" s="11">
        <v>1</v>
      </c>
      <c r="I335" s="11">
        <v>0</v>
      </c>
      <c r="J335" s="11">
        <v>0.5</v>
      </c>
    </row>
    <row r="336" spans="1:10" x14ac:dyDescent="0.45">
      <c r="A336" s="11">
        <v>601</v>
      </c>
      <c r="B336" s="11" t="s">
        <v>1186</v>
      </c>
      <c r="C336" s="11">
        <v>0.18</v>
      </c>
      <c r="D336" s="11">
        <v>0</v>
      </c>
      <c r="E336" s="11">
        <v>1</v>
      </c>
      <c r="F336" s="11">
        <v>0</v>
      </c>
      <c r="G336" s="11">
        <v>12</v>
      </c>
      <c r="H336" s="11">
        <v>1</v>
      </c>
      <c r="I336" s="11">
        <v>0.18845999999999999</v>
      </c>
      <c r="J336" s="11">
        <v>1</v>
      </c>
    </row>
    <row r="337" spans="1:10" x14ac:dyDescent="0.45">
      <c r="A337" s="11">
        <v>602</v>
      </c>
      <c r="B337" s="11" t="s">
        <v>1187</v>
      </c>
      <c r="C337" s="11">
        <v>0.18</v>
      </c>
      <c r="D337" s="11">
        <v>0</v>
      </c>
      <c r="E337" s="11">
        <v>0</v>
      </c>
      <c r="F337" s="11">
        <v>0</v>
      </c>
      <c r="G337" s="11">
        <v>16</v>
      </c>
      <c r="H337" s="11">
        <v>1</v>
      </c>
      <c r="I337" s="11">
        <v>0</v>
      </c>
      <c r="J337" s="11">
        <v>1</v>
      </c>
    </row>
    <row r="338" spans="1:10" x14ac:dyDescent="0.45">
      <c r="A338" s="11">
        <v>603</v>
      </c>
      <c r="B338" s="11" t="s">
        <v>1188</v>
      </c>
      <c r="C338" s="11">
        <v>0.18</v>
      </c>
      <c r="D338" s="11">
        <v>0</v>
      </c>
      <c r="E338" s="11">
        <v>1</v>
      </c>
      <c r="F338" s="11">
        <v>0</v>
      </c>
      <c r="G338" s="11">
        <v>12</v>
      </c>
      <c r="H338" s="11">
        <v>1</v>
      </c>
      <c r="I338" s="11">
        <v>0.19283</v>
      </c>
      <c r="J338" s="11">
        <v>1</v>
      </c>
    </row>
    <row r="339" spans="1:10" x14ac:dyDescent="0.45">
      <c r="A339" s="11">
        <v>604</v>
      </c>
      <c r="B339" s="11" t="s">
        <v>1189</v>
      </c>
      <c r="C339" s="11">
        <v>0.18</v>
      </c>
      <c r="D339" s="11">
        <v>0</v>
      </c>
      <c r="E339" s="11">
        <v>1</v>
      </c>
      <c r="F339" s="11">
        <v>0</v>
      </c>
      <c r="G339" s="11">
        <v>12</v>
      </c>
      <c r="H339" s="11">
        <v>1</v>
      </c>
      <c r="I339" s="11">
        <v>0.18845999999999999</v>
      </c>
      <c r="J339" s="11">
        <v>0.5</v>
      </c>
    </row>
    <row r="340" spans="1:10" x14ac:dyDescent="0.45">
      <c r="A340" s="11">
        <v>604</v>
      </c>
      <c r="B340" s="11" t="s">
        <v>1189</v>
      </c>
      <c r="C340" s="11">
        <v>0.18</v>
      </c>
      <c r="D340" s="11">
        <v>0</v>
      </c>
      <c r="E340" s="11">
        <v>1</v>
      </c>
      <c r="F340" s="11">
        <v>0</v>
      </c>
      <c r="G340" s="11">
        <v>13</v>
      </c>
      <c r="H340" s="11">
        <v>1</v>
      </c>
      <c r="I340" s="11">
        <v>0.18845999999999999</v>
      </c>
      <c r="J340" s="11">
        <v>0.5</v>
      </c>
    </row>
    <row r="341" spans="1:10" x14ac:dyDescent="0.45">
      <c r="A341" s="11">
        <v>605</v>
      </c>
      <c r="B341" s="11" t="s">
        <v>1190</v>
      </c>
      <c r="C341" s="11">
        <v>0.18</v>
      </c>
      <c r="D341" s="11">
        <v>0</v>
      </c>
      <c r="E341" s="11">
        <v>0</v>
      </c>
      <c r="F341" s="11">
        <v>0</v>
      </c>
      <c r="G341" s="11">
        <v>16</v>
      </c>
      <c r="H341" s="11">
        <v>1</v>
      </c>
      <c r="I341" s="11">
        <v>0</v>
      </c>
      <c r="J341" s="11">
        <v>1</v>
      </c>
    </row>
    <row r="342" spans="1:10" x14ac:dyDescent="0.45">
      <c r="A342" s="11">
        <v>606</v>
      </c>
      <c r="B342" s="11" t="s">
        <v>1191</v>
      </c>
      <c r="C342" s="11">
        <v>0.18</v>
      </c>
      <c r="D342" s="11">
        <v>0</v>
      </c>
      <c r="E342" s="11">
        <v>0</v>
      </c>
      <c r="F342" s="11">
        <v>0</v>
      </c>
      <c r="G342" s="11">
        <v>16</v>
      </c>
      <c r="H342" s="11">
        <v>1</v>
      </c>
      <c r="I342" s="11">
        <v>0</v>
      </c>
      <c r="J342" s="11">
        <v>1</v>
      </c>
    </row>
    <row r="343" spans="1:10" x14ac:dyDescent="0.45">
      <c r="A343" s="11">
        <v>607</v>
      </c>
      <c r="B343" s="11" t="s">
        <v>1192</v>
      </c>
      <c r="C343" s="11">
        <v>0</v>
      </c>
      <c r="D343" s="11">
        <v>1</v>
      </c>
      <c r="E343" s="11">
        <v>0</v>
      </c>
      <c r="F343" s="11">
        <v>0</v>
      </c>
      <c r="G343" s="11">
        <v>22</v>
      </c>
      <c r="H343" s="11">
        <v>1</v>
      </c>
      <c r="I343" s="11">
        <v>0</v>
      </c>
      <c r="J343" s="11">
        <v>1</v>
      </c>
    </row>
    <row r="344" spans="1:10" x14ac:dyDescent="0.45">
      <c r="A344" s="11">
        <v>608</v>
      </c>
      <c r="B344" s="11" t="s">
        <v>1193</v>
      </c>
      <c r="C344" s="11">
        <v>0.18</v>
      </c>
      <c r="D344" s="11">
        <v>0</v>
      </c>
      <c r="E344" s="11">
        <v>0</v>
      </c>
      <c r="F344" s="11">
        <v>0</v>
      </c>
      <c r="G344" s="11">
        <v>23</v>
      </c>
      <c r="H344" s="11">
        <v>1</v>
      </c>
      <c r="I344" s="11">
        <v>0</v>
      </c>
      <c r="J344" s="11">
        <v>1</v>
      </c>
    </row>
    <row r="345" spans="1:10" x14ac:dyDescent="0.45">
      <c r="A345" s="11">
        <v>609</v>
      </c>
      <c r="B345" s="11" t="s">
        <v>1194</v>
      </c>
      <c r="C345" s="11">
        <v>0.18</v>
      </c>
      <c r="D345" s="11">
        <v>0</v>
      </c>
      <c r="E345" s="11">
        <v>0</v>
      </c>
      <c r="F345" s="11">
        <v>0</v>
      </c>
      <c r="G345" s="11">
        <v>15</v>
      </c>
      <c r="H345" s="11">
        <v>1</v>
      </c>
      <c r="I345" s="11">
        <v>0</v>
      </c>
      <c r="J345" s="11">
        <v>1</v>
      </c>
    </row>
    <row r="346" spans="1:10" x14ac:dyDescent="0.45">
      <c r="A346" s="11">
        <v>610</v>
      </c>
      <c r="B346" s="11" t="s">
        <v>1195</v>
      </c>
      <c r="C346" s="11">
        <v>0.18</v>
      </c>
      <c r="D346" s="11">
        <v>0</v>
      </c>
      <c r="E346" s="11">
        <v>0</v>
      </c>
      <c r="F346" s="11">
        <v>0</v>
      </c>
      <c r="G346" s="11">
        <v>14</v>
      </c>
      <c r="H346" s="11">
        <v>1</v>
      </c>
      <c r="I346" s="11">
        <v>0</v>
      </c>
      <c r="J346" s="11">
        <v>1</v>
      </c>
    </row>
    <row r="347" spans="1:10" x14ac:dyDescent="0.45">
      <c r="A347" s="11">
        <v>611</v>
      </c>
      <c r="B347" s="11" t="s">
        <v>1196</v>
      </c>
      <c r="C347" s="11">
        <v>0.18</v>
      </c>
      <c r="D347" s="11">
        <v>0</v>
      </c>
      <c r="E347" s="11">
        <v>0</v>
      </c>
      <c r="F347" s="11">
        <v>0</v>
      </c>
      <c r="G347" s="11">
        <v>15</v>
      </c>
      <c r="H347" s="11">
        <v>1</v>
      </c>
      <c r="I347" s="11">
        <v>0</v>
      </c>
      <c r="J347" s="11">
        <v>1</v>
      </c>
    </row>
    <row r="348" spans="1:10" x14ac:dyDescent="0.45">
      <c r="A348" s="11">
        <v>612</v>
      </c>
      <c r="B348" s="11" t="s">
        <v>1197</v>
      </c>
      <c r="C348" s="11">
        <v>0.18</v>
      </c>
      <c r="D348" s="11">
        <v>0</v>
      </c>
      <c r="E348" s="11">
        <v>0</v>
      </c>
      <c r="F348" s="11">
        <v>0</v>
      </c>
      <c r="G348" s="11">
        <v>14</v>
      </c>
      <c r="H348" s="11">
        <v>1</v>
      </c>
      <c r="I348" s="11">
        <v>0</v>
      </c>
      <c r="J348" s="11">
        <v>1</v>
      </c>
    </row>
    <row r="349" spans="1:10" x14ac:dyDescent="0.45">
      <c r="A349" s="11">
        <v>613</v>
      </c>
      <c r="B349" s="11" t="s">
        <v>1198</v>
      </c>
      <c r="C349" s="11">
        <v>0.18</v>
      </c>
      <c r="D349" s="11">
        <v>0</v>
      </c>
      <c r="E349" s="11">
        <v>1</v>
      </c>
      <c r="F349" s="11">
        <v>0</v>
      </c>
      <c r="G349" s="11">
        <v>13</v>
      </c>
      <c r="H349" s="11">
        <v>1</v>
      </c>
      <c r="I349" s="11">
        <v>2.3689999999999999E-2</v>
      </c>
      <c r="J349" s="11">
        <v>0.5</v>
      </c>
    </row>
    <row r="350" spans="1:10" x14ac:dyDescent="0.45">
      <c r="A350" s="11">
        <v>613</v>
      </c>
      <c r="B350" s="11" t="s">
        <v>1198</v>
      </c>
      <c r="C350" s="11">
        <v>0.18</v>
      </c>
      <c r="D350" s="11">
        <v>0</v>
      </c>
      <c r="E350" s="11">
        <v>1</v>
      </c>
      <c r="F350" s="11">
        <v>0</v>
      </c>
      <c r="G350" s="11">
        <v>17</v>
      </c>
      <c r="H350" s="11">
        <v>1</v>
      </c>
      <c r="I350" s="11">
        <v>2.3689999999999999E-2</v>
      </c>
      <c r="J350" s="11">
        <v>0.5</v>
      </c>
    </row>
    <row r="351" spans="1:10" x14ac:dyDescent="0.45">
      <c r="A351" s="11">
        <v>614</v>
      </c>
      <c r="B351" s="11" t="s">
        <v>1199</v>
      </c>
      <c r="C351" s="11">
        <v>0.18</v>
      </c>
      <c r="D351" s="11">
        <v>0</v>
      </c>
      <c r="E351" s="11">
        <v>1</v>
      </c>
      <c r="F351" s="11">
        <v>0</v>
      </c>
      <c r="G351" s="11">
        <v>13</v>
      </c>
      <c r="H351" s="11">
        <v>1</v>
      </c>
      <c r="I351" s="11">
        <v>2.4240000000000001E-2</v>
      </c>
      <c r="J351" s="11">
        <v>0.5</v>
      </c>
    </row>
    <row r="352" spans="1:10" x14ac:dyDescent="0.45">
      <c r="A352" s="11">
        <v>614</v>
      </c>
      <c r="B352" s="11" t="s">
        <v>1199</v>
      </c>
      <c r="C352" s="11">
        <v>0.18</v>
      </c>
      <c r="D352" s="11">
        <v>0</v>
      </c>
      <c r="E352" s="11">
        <v>1</v>
      </c>
      <c r="F352" s="11">
        <v>0</v>
      </c>
      <c r="G352" s="11">
        <v>17</v>
      </c>
      <c r="H352" s="11">
        <v>1</v>
      </c>
      <c r="I352" s="11">
        <v>2.4240000000000001E-2</v>
      </c>
      <c r="J352" s="11">
        <v>0.5</v>
      </c>
    </row>
    <row r="353" spans="1:10" x14ac:dyDescent="0.45">
      <c r="A353" s="11">
        <v>615</v>
      </c>
      <c r="B353" s="11" t="s">
        <v>1200</v>
      </c>
      <c r="C353" s="11">
        <v>0.18</v>
      </c>
      <c r="D353" s="11">
        <v>0</v>
      </c>
      <c r="E353" s="11">
        <v>0</v>
      </c>
      <c r="F353" s="11">
        <v>0</v>
      </c>
      <c r="G353" s="11">
        <v>30</v>
      </c>
      <c r="H353" s="11">
        <v>1</v>
      </c>
      <c r="I353" s="11">
        <v>0</v>
      </c>
      <c r="J353" s="11">
        <v>1</v>
      </c>
    </row>
    <row r="354" spans="1:10" x14ac:dyDescent="0.45">
      <c r="A354" s="11">
        <v>616</v>
      </c>
      <c r="B354" s="11" t="s">
        <v>1201</v>
      </c>
      <c r="C354" s="11">
        <v>0.18</v>
      </c>
      <c r="D354" s="11">
        <v>0</v>
      </c>
      <c r="E354" s="11">
        <v>1</v>
      </c>
      <c r="F354" s="11">
        <v>0</v>
      </c>
      <c r="G354" s="11">
        <v>13</v>
      </c>
      <c r="H354" s="11">
        <v>1</v>
      </c>
      <c r="I354" s="11">
        <v>2.4240000000000001E-2</v>
      </c>
      <c r="J354" s="11">
        <v>0.5</v>
      </c>
    </row>
    <row r="355" spans="1:10" x14ac:dyDescent="0.45">
      <c r="A355" s="11">
        <v>616</v>
      </c>
      <c r="B355" s="11" t="s">
        <v>1201</v>
      </c>
      <c r="C355" s="11">
        <v>0.18</v>
      </c>
      <c r="D355" s="11">
        <v>0</v>
      </c>
      <c r="E355" s="11">
        <v>1</v>
      </c>
      <c r="F355" s="11">
        <v>0</v>
      </c>
      <c r="G355" s="11">
        <v>17</v>
      </c>
      <c r="H355" s="11">
        <v>1</v>
      </c>
      <c r="I355" s="11">
        <v>2.4240000000000001E-2</v>
      </c>
      <c r="J355" s="11">
        <v>0.5</v>
      </c>
    </row>
    <row r="356" spans="1:10" x14ac:dyDescent="0.45">
      <c r="A356" s="11">
        <v>617</v>
      </c>
      <c r="B356" s="11" t="s">
        <v>1202</v>
      </c>
      <c r="C356" s="11">
        <v>0.18</v>
      </c>
      <c r="D356" s="11">
        <v>0</v>
      </c>
      <c r="E356" s="11">
        <v>1</v>
      </c>
      <c r="F356" s="11">
        <v>0</v>
      </c>
      <c r="G356" s="11">
        <v>13</v>
      </c>
      <c r="H356" s="11">
        <v>1</v>
      </c>
      <c r="I356" s="11">
        <v>0.16650000000000001</v>
      </c>
      <c r="J356" s="11">
        <v>0.5</v>
      </c>
    </row>
    <row r="357" spans="1:10" x14ac:dyDescent="0.45">
      <c r="A357" s="11">
        <v>617</v>
      </c>
      <c r="B357" s="11" t="s">
        <v>1202</v>
      </c>
      <c r="C357" s="11">
        <v>0.18</v>
      </c>
      <c r="D357" s="11">
        <v>0</v>
      </c>
      <c r="E357" s="11">
        <v>1</v>
      </c>
      <c r="F357" s="11">
        <v>0</v>
      </c>
      <c r="G357" s="11">
        <v>17</v>
      </c>
      <c r="H357" s="11">
        <v>1</v>
      </c>
      <c r="I357" s="11">
        <v>0.16650000000000001</v>
      </c>
      <c r="J357" s="11">
        <v>0.5</v>
      </c>
    </row>
    <row r="358" spans="1:10" x14ac:dyDescent="0.45">
      <c r="A358" s="11">
        <v>618</v>
      </c>
      <c r="B358" s="11" t="s">
        <v>1203</v>
      </c>
      <c r="C358" s="11">
        <v>0</v>
      </c>
      <c r="D358" s="11">
        <v>1</v>
      </c>
      <c r="E358" s="11">
        <v>0</v>
      </c>
      <c r="F358" s="11">
        <v>0</v>
      </c>
      <c r="G358" s="11">
        <v>13</v>
      </c>
      <c r="H358" s="11">
        <v>1</v>
      </c>
      <c r="I358" s="11">
        <v>0</v>
      </c>
      <c r="J358" s="11">
        <v>0.33333332999999998</v>
      </c>
    </row>
    <row r="359" spans="1:10" x14ac:dyDescent="0.45">
      <c r="A359" s="11">
        <v>618</v>
      </c>
      <c r="B359" s="11" t="s">
        <v>1203</v>
      </c>
      <c r="C359" s="11">
        <v>0</v>
      </c>
      <c r="D359" s="11">
        <v>1</v>
      </c>
      <c r="E359" s="11">
        <v>0</v>
      </c>
      <c r="F359" s="11">
        <v>0</v>
      </c>
      <c r="G359" s="11">
        <v>14</v>
      </c>
      <c r="H359" s="11">
        <v>1</v>
      </c>
      <c r="I359" s="11">
        <v>0</v>
      </c>
      <c r="J359" s="11">
        <v>0.33333332999999998</v>
      </c>
    </row>
    <row r="360" spans="1:10" x14ac:dyDescent="0.45">
      <c r="A360" s="11">
        <v>618</v>
      </c>
      <c r="B360" s="11" t="s">
        <v>1203</v>
      </c>
      <c r="C360" s="11">
        <v>0</v>
      </c>
      <c r="D360" s="11">
        <v>1</v>
      </c>
      <c r="E360" s="11">
        <v>0</v>
      </c>
      <c r="F360" s="11">
        <v>0</v>
      </c>
      <c r="G360" s="11">
        <v>17</v>
      </c>
      <c r="H360" s="11">
        <v>1</v>
      </c>
      <c r="I360" s="11">
        <v>0</v>
      </c>
      <c r="J360" s="11">
        <v>0.33333332999999998</v>
      </c>
    </row>
    <row r="361" spans="1:10" x14ac:dyDescent="0.45">
      <c r="A361" s="11">
        <v>619</v>
      </c>
      <c r="B361" s="11" t="s">
        <v>1204</v>
      </c>
      <c r="C361" s="11">
        <v>0</v>
      </c>
      <c r="D361" s="11">
        <v>1</v>
      </c>
      <c r="E361" s="11">
        <v>0</v>
      </c>
      <c r="F361" s="11">
        <v>0</v>
      </c>
      <c r="G361" s="11">
        <v>13</v>
      </c>
      <c r="H361" s="11">
        <v>1</v>
      </c>
      <c r="I361" s="11">
        <v>0</v>
      </c>
      <c r="J361" s="11">
        <v>0.33333332999999998</v>
      </c>
    </row>
    <row r="362" spans="1:10" x14ac:dyDescent="0.45">
      <c r="A362" s="11">
        <v>619</v>
      </c>
      <c r="B362" s="11" t="s">
        <v>1204</v>
      </c>
      <c r="C362" s="11">
        <v>0</v>
      </c>
      <c r="D362" s="11">
        <v>1</v>
      </c>
      <c r="E362" s="11">
        <v>0</v>
      </c>
      <c r="F362" s="11">
        <v>0</v>
      </c>
      <c r="G362" s="11">
        <v>14</v>
      </c>
      <c r="H362" s="11">
        <v>1</v>
      </c>
      <c r="I362" s="11">
        <v>0</v>
      </c>
      <c r="J362" s="11">
        <v>0.33333332999999998</v>
      </c>
    </row>
    <row r="363" spans="1:10" x14ac:dyDescent="0.45">
      <c r="A363" s="11">
        <v>619</v>
      </c>
      <c r="B363" s="11" t="s">
        <v>1204</v>
      </c>
      <c r="C363" s="11">
        <v>0</v>
      </c>
      <c r="D363" s="11">
        <v>1</v>
      </c>
      <c r="E363" s="11">
        <v>0</v>
      </c>
      <c r="F363" s="11">
        <v>0</v>
      </c>
      <c r="G363" s="11">
        <v>17</v>
      </c>
      <c r="H363" s="11">
        <v>1</v>
      </c>
      <c r="I363" s="11">
        <v>0</v>
      </c>
      <c r="J363" s="11">
        <v>0.33333332999999998</v>
      </c>
    </row>
    <row r="364" spans="1:10" x14ac:dyDescent="0.45">
      <c r="A364" s="11">
        <v>620</v>
      </c>
      <c r="B364" s="11" t="s">
        <v>1205</v>
      </c>
      <c r="C364" s="11">
        <v>0.18</v>
      </c>
      <c r="D364" s="11">
        <v>0</v>
      </c>
      <c r="E364" s="11">
        <v>0</v>
      </c>
      <c r="F364" s="11">
        <v>0</v>
      </c>
      <c r="G364" s="11">
        <v>30</v>
      </c>
      <c r="H364" s="11">
        <v>1</v>
      </c>
      <c r="I364" s="11">
        <v>0</v>
      </c>
      <c r="J364" s="11">
        <v>1</v>
      </c>
    </row>
    <row r="365" spans="1:10" x14ac:dyDescent="0.45">
      <c r="A365" s="11">
        <v>621</v>
      </c>
      <c r="B365" s="11" t="s">
        <v>1206</v>
      </c>
      <c r="C365" s="11">
        <v>0.18</v>
      </c>
      <c r="D365" s="11">
        <v>0</v>
      </c>
      <c r="E365" s="11">
        <v>0</v>
      </c>
      <c r="F365" s="11">
        <v>0</v>
      </c>
      <c r="G365" s="11">
        <v>13</v>
      </c>
      <c r="H365" s="11">
        <v>1</v>
      </c>
      <c r="I365" s="11">
        <v>0</v>
      </c>
      <c r="J365" s="11">
        <v>0.5</v>
      </c>
    </row>
    <row r="366" spans="1:10" x14ac:dyDescent="0.45">
      <c r="A366" s="11">
        <v>621</v>
      </c>
      <c r="B366" s="11" t="s">
        <v>1206</v>
      </c>
      <c r="C366" s="11">
        <v>0.18</v>
      </c>
      <c r="D366" s="11">
        <v>0</v>
      </c>
      <c r="E366" s="11">
        <v>0</v>
      </c>
      <c r="F366" s="11">
        <v>0</v>
      </c>
      <c r="G366" s="11">
        <v>17</v>
      </c>
      <c r="H366" s="11">
        <v>1</v>
      </c>
      <c r="I366" s="11">
        <v>0</v>
      </c>
      <c r="J366" s="11">
        <v>0.5</v>
      </c>
    </row>
    <row r="367" spans="1:10" x14ac:dyDescent="0.45">
      <c r="A367" s="11">
        <v>622</v>
      </c>
      <c r="B367" s="11" t="s">
        <v>1207</v>
      </c>
      <c r="C367" s="11">
        <v>0.18</v>
      </c>
      <c r="D367" s="11">
        <v>0</v>
      </c>
      <c r="E367" s="11">
        <v>1</v>
      </c>
      <c r="F367" s="11">
        <v>0</v>
      </c>
      <c r="G367" s="11">
        <v>13</v>
      </c>
      <c r="H367" s="11">
        <v>1</v>
      </c>
      <c r="I367" s="11">
        <v>2.3689999999999999E-2</v>
      </c>
      <c r="J367" s="11">
        <v>0.5</v>
      </c>
    </row>
    <row r="368" spans="1:10" x14ac:dyDescent="0.45">
      <c r="A368" s="11">
        <v>622</v>
      </c>
      <c r="B368" s="11" t="s">
        <v>1207</v>
      </c>
      <c r="C368" s="11">
        <v>0.18</v>
      </c>
      <c r="D368" s="11">
        <v>0</v>
      </c>
      <c r="E368" s="11">
        <v>1</v>
      </c>
      <c r="F368" s="11">
        <v>0</v>
      </c>
      <c r="G368" s="11">
        <v>17</v>
      </c>
      <c r="H368" s="11">
        <v>1</v>
      </c>
      <c r="I368" s="11">
        <v>2.3689999999999999E-2</v>
      </c>
      <c r="J368" s="11">
        <v>0.5</v>
      </c>
    </row>
    <row r="369" spans="1:10" x14ac:dyDescent="0.45">
      <c r="A369" s="11">
        <v>623</v>
      </c>
      <c r="B369" s="11" t="s">
        <v>1208</v>
      </c>
      <c r="C369" s="11">
        <v>0.18</v>
      </c>
      <c r="D369" s="11">
        <v>0</v>
      </c>
      <c r="E369" s="11">
        <v>1</v>
      </c>
      <c r="F369" s="11">
        <v>0</v>
      </c>
      <c r="G369" s="11">
        <v>13</v>
      </c>
      <c r="H369" s="11">
        <v>1</v>
      </c>
      <c r="I369" s="11">
        <v>2.3689999999999999E-2</v>
      </c>
      <c r="J369" s="11">
        <v>0.5</v>
      </c>
    </row>
    <row r="370" spans="1:10" x14ac:dyDescent="0.45">
      <c r="A370" s="11">
        <v>623</v>
      </c>
      <c r="B370" s="11" t="s">
        <v>1208</v>
      </c>
      <c r="C370" s="11">
        <v>0.18</v>
      </c>
      <c r="D370" s="11">
        <v>0</v>
      </c>
      <c r="E370" s="11">
        <v>1</v>
      </c>
      <c r="F370" s="11">
        <v>0</v>
      </c>
      <c r="G370" s="11">
        <v>17</v>
      </c>
      <c r="H370" s="11">
        <v>1</v>
      </c>
      <c r="I370" s="11">
        <v>2.3689999999999999E-2</v>
      </c>
      <c r="J370" s="11">
        <v>0.5</v>
      </c>
    </row>
    <row r="371" spans="1:10" x14ac:dyDescent="0.45">
      <c r="A371" s="11">
        <v>624</v>
      </c>
      <c r="B371" s="11" t="s">
        <v>1209</v>
      </c>
      <c r="C371" s="11">
        <v>0.18</v>
      </c>
      <c r="D371" s="11">
        <v>0</v>
      </c>
      <c r="E371" s="11">
        <v>0</v>
      </c>
      <c r="F371" s="11">
        <v>0</v>
      </c>
      <c r="G371" s="11">
        <v>13</v>
      </c>
      <c r="H371" s="11">
        <v>1</v>
      </c>
      <c r="I371" s="11">
        <v>0</v>
      </c>
      <c r="J371" s="11">
        <v>0.5</v>
      </c>
    </row>
    <row r="372" spans="1:10" x14ac:dyDescent="0.45">
      <c r="A372" s="11">
        <v>624</v>
      </c>
      <c r="B372" s="11" t="s">
        <v>1209</v>
      </c>
      <c r="C372" s="11">
        <v>0.18</v>
      </c>
      <c r="D372" s="11">
        <v>0</v>
      </c>
      <c r="E372" s="11">
        <v>0</v>
      </c>
      <c r="F372" s="11">
        <v>0</v>
      </c>
      <c r="G372" s="11">
        <v>17</v>
      </c>
      <c r="H372" s="11">
        <v>1</v>
      </c>
      <c r="I372" s="11">
        <v>0</v>
      </c>
      <c r="J372" s="11">
        <v>0.5</v>
      </c>
    </row>
    <row r="373" spans="1:10" x14ac:dyDescent="0.45">
      <c r="A373" s="11">
        <v>625</v>
      </c>
      <c r="B373" s="11" t="s">
        <v>1210</v>
      </c>
      <c r="C373" s="11">
        <v>0.18</v>
      </c>
      <c r="D373" s="11">
        <v>0</v>
      </c>
      <c r="E373" s="11">
        <v>1</v>
      </c>
      <c r="F373" s="11">
        <v>0</v>
      </c>
      <c r="G373" s="11">
        <v>13</v>
      </c>
      <c r="H373" s="11">
        <v>1</v>
      </c>
      <c r="I373" s="11">
        <v>0.10764</v>
      </c>
      <c r="J373" s="11">
        <v>0.5</v>
      </c>
    </row>
    <row r="374" spans="1:10" x14ac:dyDescent="0.45">
      <c r="A374" s="11">
        <v>625</v>
      </c>
      <c r="B374" s="11" t="s">
        <v>1210</v>
      </c>
      <c r="C374" s="11">
        <v>0.18</v>
      </c>
      <c r="D374" s="11">
        <v>0</v>
      </c>
      <c r="E374" s="11">
        <v>1</v>
      </c>
      <c r="F374" s="11">
        <v>0</v>
      </c>
      <c r="G374" s="11">
        <v>17</v>
      </c>
      <c r="H374" s="11">
        <v>1</v>
      </c>
      <c r="I374" s="11">
        <v>0.10764</v>
      </c>
      <c r="J374" s="11">
        <v>0.5</v>
      </c>
    </row>
    <row r="375" spans="1:10" x14ac:dyDescent="0.45">
      <c r="A375" s="11">
        <v>626</v>
      </c>
      <c r="B375" s="11" t="s">
        <v>1211</v>
      </c>
      <c r="C375" s="11">
        <v>0.18</v>
      </c>
      <c r="D375" s="11">
        <v>0</v>
      </c>
      <c r="E375" s="11">
        <v>0</v>
      </c>
      <c r="F375" s="11">
        <v>0</v>
      </c>
      <c r="G375" s="11">
        <v>18</v>
      </c>
      <c r="H375" s="11">
        <v>1</v>
      </c>
      <c r="I375" s="11">
        <v>0</v>
      </c>
      <c r="J375" s="11">
        <v>0.5</v>
      </c>
    </row>
    <row r="376" spans="1:10" x14ac:dyDescent="0.45">
      <c r="A376" s="11">
        <v>626</v>
      </c>
      <c r="B376" s="11" t="s">
        <v>1211</v>
      </c>
      <c r="C376" s="11">
        <v>0.18</v>
      </c>
      <c r="D376" s="11">
        <v>0</v>
      </c>
      <c r="E376" s="11">
        <v>0</v>
      </c>
      <c r="F376" s="11">
        <v>0</v>
      </c>
      <c r="G376" s="11">
        <v>17</v>
      </c>
      <c r="H376" s="11">
        <v>1</v>
      </c>
      <c r="I376" s="11">
        <v>0</v>
      </c>
      <c r="J376" s="11">
        <v>0.5</v>
      </c>
    </row>
    <row r="377" spans="1:10" x14ac:dyDescent="0.45">
      <c r="A377" s="11">
        <v>627</v>
      </c>
      <c r="B377" s="11" t="s">
        <v>1212</v>
      </c>
      <c r="C377" s="11">
        <v>0.18</v>
      </c>
      <c r="D377" s="11">
        <v>0</v>
      </c>
      <c r="E377" s="11">
        <v>0</v>
      </c>
      <c r="F377" s="11">
        <v>0</v>
      </c>
      <c r="G377" s="11">
        <v>18</v>
      </c>
      <c r="H377" s="11">
        <v>1</v>
      </c>
      <c r="I377" s="11">
        <v>0</v>
      </c>
      <c r="J377" s="11">
        <v>0.5</v>
      </c>
    </row>
    <row r="378" spans="1:10" x14ac:dyDescent="0.45">
      <c r="A378" s="11">
        <v>627</v>
      </c>
      <c r="B378" s="11" t="s">
        <v>1212</v>
      </c>
      <c r="C378" s="11">
        <v>0.18</v>
      </c>
      <c r="D378" s="11">
        <v>0</v>
      </c>
      <c r="E378" s="11">
        <v>0</v>
      </c>
      <c r="F378" s="11">
        <v>0</v>
      </c>
      <c r="G378" s="11">
        <v>17</v>
      </c>
      <c r="H378" s="11">
        <v>1</v>
      </c>
      <c r="I378" s="11">
        <v>0</v>
      </c>
      <c r="J378" s="11">
        <v>0.5</v>
      </c>
    </row>
    <row r="379" spans="1:10" x14ac:dyDescent="0.45">
      <c r="A379" s="11">
        <v>628</v>
      </c>
      <c r="B379" s="11" t="s">
        <v>1213</v>
      </c>
      <c r="C379" s="11">
        <v>0.18</v>
      </c>
      <c r="D379" s="11">
        <v>0</v>
      </c>
      <c r="E379" s="11">
        <v>0</v>
      </c>
      <c r="F379" s="11">
        <v>0</v>
      </c>
      <c r="G379" s="11">
        <v>13</v>
      </c>
      <c r="H379" s="11">
        <v>1</v>
      </c>
      <c r="I379" s="11">
        <v>0</v>
      </c>
      <c r="J379" s="11">
        <v>0.5</v>
      </c>
    </row>
    <row r="380" spans="1:10" x14ac:dyDescent="0.45">
      <c r="A380" s="11">
        <v>628</v>
      </c>
      <c r="B380" s="11" t="s">
        <v>1213</v>
      </c>
      <c r="C380" s="11">
        <v>0.18</v>
      </c>
      <c r="D380" s="11">
        <v>0</v>
      </c>
      <c r="E380" s="11">
        <v>0</v>
      </c>
      <c r="F380" s="11">
        <v>0</v>
      </c>
      <c r="G380" s="11">
        <v>17</v>
      </c>
      <c r="H380" s="11">
        <v>1</v>
      </c>
      <c r="I380" s="11">
        <v>0</v>
      </c>
      <c r="J380" s="11">
        <v>0.5</v>
      </c>
    </row>
    <row r="381" spans="1:10" x14ac:dyDescent="0.45">
      <c r="A381" s="11">
        <v>629</v>
      </c>
      <c r="B381" s="11" t="s">
        <v>1214</v>
      </c>
      <c r="C381" s="11">
        <v>0.18</v>
      </c>
      <c r="D381" s="11">
        <v>0</v>
      </c>
      <c r="E381" s="11">
        <v>0</v>
      </c>
      <c r="F381" s="11">
        <v>0</v>
      </c>
      <c r="G381" s="11">
        <v>21</v>
      </c>
      <c r="H381" s="11">
        <v>1</v>
      </c>
      <c r="I381" s="11">
        <v>0</v>
      </c>
      <c r="J381" s="11">
        <v>1</v>
      </c>
    </row>
    <row r="382" spans="1:10" x14ac:dyDescent="0.45">
      <c r="A382" s="11">
        <v>630</v>
      </c>
      <c r="B382" s="11" t="s">
        <v>1215</v>
      </c>
      <c r="C382" s="11">
        <v>0.18</v>
      </c>
      <c r="D382" s="11">
        <v>0</v>
      </c>
      <c r="E382" s="11">
        <v>0</v>
      </c>
      <c r="F382" s="11">
        <v>0</v>
      </c>
      <c r="G382" s="11">
        <v>25</v>
      </c>
      <c r="H382" s="11">
        <v>1</v>
      </c>
      <c r="I382" s="11">
        <v>0</v>
      </c>
      <c r="J382" s="11">
        <v>1</v>
      </c>
    </row>
    <row r="383" spans="1:10" x14ac:dyDescent="0.45">
      <c r="A383" s="11">
        <v>631</v>
      </c>
      <c r="B383" s="11" t="s">
        <v>1216</v>
      </c>
      <c r="C383" s="11">
        <v>0.18</v>
      </c>
      <c r="D383" s="11">
        <v>0</v>
      </c>
      <c r="E383" s="11">
        <v>0</v>
      </c>
      <c r="F383" s="11">
        <v>0</v>
      </c>
      <c r="G383" s="11">
        <v>18</v>
      </c>
      <c r="H383" s="11">
        <v>1</v>
      </c>
      <c r="I383" s="11">
        <v>0</v>
      </c>
      <c r="J383" s="11">
        <v>1</v>
      </c>
    </row>
    <row r="384" spans="1:10" x14ac:dyDescent="0.45">
      <c r="A384" s="11">
        <v>632</v>
      </c>
      <c r="B384" s="11" t="s">
        <v>1217</v>
      </c>
      <c r="C384" s="11">
        <v>0</v>
      </c>
      <c r="D384" s="11">
        <v>1</v>
      </c>
      <c r="E384" s="11">
        <v>0</v>
      </c>
      <c r="F384" s="11">
        <v>-1.7594000000000001</v>
      </c>
      <c r="G384" s="11">
        <v>18</v>
      </c>
      <c r="H384" s="11">
        <v>1</v>
      </c>
      <c r="I384" s="11">
        <v>0</v>
      </c>
      <c r="J384" s="11">
        <v>1</v>
      </c>
    </row>
    <row r="385" spans="1:10" x14ac:dyDescent="0.45">
      <c r="A385" s="11">
        <v>633</v>
      </c>
      <c r="B385" s="11" t="s">
        <v>1218</v>
      </c>
      <c r="C385" s="11">
        <v>0</v>
      </c>
      <c r="D385" s="11">
        <v>1</v>
      </c>
      <c r="E385" s="11">
        <v>0</v>
      </c>
      <c r="F385" s="11">
        <v>-1.7594000000000001</v>
      </c>
      <c r="G385" s="11">
        <v>18</v>
      </c>
      <c r="H385" s="11">
        <v>1</v>
      </c>
      <c r="I385" s="11">
        <v>0</v>
      </c>
      <c r="J385" s="11">
        <v>1</v>
      </c>
    </row>
    <row r="386" spans="1:10" x14ac:dyDescent="0.45">
      <c r="A386" s="11">
        <v>634</v>
      </c>
      <c r="B386" s="11" t="s">
        <v>1219</v>
      </c>
      <c r="C386" s="11">
        <v>0</v>
      </c>
      <c r="D386" s="11">
        <v>1</v>
      </c>
      <c r="E386" s="11">
        <v>0</v>
      </c>
      <c r="F386" s="11">
        <v>0</v>
      </c>
      <c r="G386" s="11">
        <v>18</v>
      </c>
      <c r="H386" s="11">
        <v>0</v>
      </c>
      <c r="I386" s="11">
        <v>0</v>
      </c>
      <c r="J386" s="11">
        <v>0.5</v>
      </c>
    </row>
    <row r="387" spans="1:10" x14ac:dyDescent="0.45">
      <c r="A387" s="11">
        <v>634</v>
      </c>
      <c r="B387" s="11" t="s">
        <v>1219</v>
      </c>
      <c r="C387" s="11">
        <v>0</v>
      </c>
      <c r="D387" s="11">
        <v>1</v>
      </c>
      <c r="E387" s="11">
        <v>0</v>
      </c>
      <c r="F387" s="11">
        <v>0</v>
      </c>
      <c r="G387" s="11">
        <v>29</v>
      </c>
      <c r="H387" s="11">
        <v>0</v>
      </c>
      <c r="I387" s="11">
        <v>0</v>
      </c>
      <c r="J387" s="11">
        <v>0.5</v>
      </c>
    </row>
    <row r="388" spans="1:10" x14ac:dyDescent="0.45">
      <c r="A388" s="11">
        <v>635</v>
      </c>
      <c r="B388" s="11" t="s">
        <v>1220</v>
      </c>
      <c r="C388" s="11">
        <v>0.18</v>
      </c>
      <c r="D388" s="11">
        <v>0</v>
      </c>
      <c r="E388" s="11">
        <v>0</v>
      </c>
      <c r="F388" s="11">
        <v>0</v>
      </c>
      <c r="G388" s="11">
        <v>25</v>
      </c>
      <c r="H388" s="11">
        <v>1</v>
      </c>
      <c r="I388" s="11">
        <v>0</v>
      </c>
      <c r="J388" s="11">
        <v>1</v>
      </c>
    </row>
    <row r="389" spans="1:10" x14ac:dyDescent="0.45">
      <c r="A389" s="11">
        <v>636</v>
      </c>
      <c r="B389" s="11" t="s">
        <v>1221</v>
      </c>
      <c r="C389" s="11">
        <v>0.18</v>
      </c>
      <c r="D389" s="11">
        <v>0</v>
      </c>
      <c r="E389" s="11">
        <v>0</v>
      </c>
      <c r="F389" s="11">
        <v>0</v>
      </c>
      <c r="G389" s="11">
        <v>13</v>
      </c>
      <c r="H389" s="11">
        <v>1</v>
      </c>
      <c r="I389" s="11">
        <v>0</v>
      </c>
      <c r="J389" s="11">
        <v>0.33333332999999998</v>
      </c>
    </row>
    <row r="390" spans="1:10" x14ac:dyDescent="0.45">
      <c r="A390" s="11">
        <v>636</v>
      </c>
      <c r="B390" s="11" t="s">
        <v>1221</v>
      </c>
      <c r="C390" s="11">
        <v>0.18</v>
      </c>
      <c r="D390" s="11">
        <v>0</v>
      </c>
      <c r="E390" s="11">
        <v>0</v>
      </c>
      <c r="F390" s="11">
        <v>0</v>
      </c>
      <c r="G390" s="11">
        <v>20</v>
      </c>
      <c r="H390" s="11">
        <v>1</v>
      </c>
      <c r="I390" s="11">
        <v>0</v>
      </c>
      <c r="J390" s="11">
        <v>0.33333332999999998</v>
      </c>
    </row>
    <row r="391" spans="1:10" x14ac:dyDescent="0.45">
      <c r="A391" s="11">
        <v>636</v>
      </c>
      <c r="B391" s="11" t="s">
        <v>1221</v>
      </c>
      <c r="C391" s="11">
        <v>0.18</v>
      </c>
      <c r="D391" s="11">
        <v>0</v>
      </c>
      <c r="E391" s="11">
        <v>0</v>
      </c>
      <c r="F391" s="11">
        <v>0</v>
      </c>
      <c r="G391" s="11">
        <v>17</v>
      </c>
      <c r="H391" s="11">
        <v>1</v>
      </c>
      <c r="I391" s="11">
        <v>0</v>
      </c>
      <c r="J391" s="11">
        <v>0.33333332999999998</v>
      </c>
    </row>
    <row r="392" spans="1:10" x14ac:dyDescent="0.45">
      <c r="A392" s="11">
        <v>637</v>
      </c>
      <c r="B392" s="11" t="s">
        <v>1222</v>
      </c>
      <c r="C392" s="11">
        <v>0.18</v>
      </c>
      <c r="D392" s="11">
        <v>0</v>
      </c>
      <c r="E392" s="11">
        <v>0</v>
      </c>
      <c r="F392" s="11">
        <v>0</v>
      </c>
      <c r="G392" s="11">
        <v>13</v>
      </c>
      <c r="H392" s="11">
        <v>1</v>
      </c>
      <c r="I392" s="11">
        <v>0</v>
      </c>
      <c r="J392" s="11">
        <v>0.33333332999999998</v>
      </c>
    </row>
    <row r="393" spans="1:10" x14ac:dyDescent="0.45">
      <c r="A393" s="11">
        <v>637</v>
      </c>
      <c r="B393" s="11" t="s">
        <v>1222</v>
      </c>
      <c r="C393" s="11">
        <v>0.18</v>
      </c>
      <c r="D393" s="11">
        <v>0</v>
      </c>
      <c r="E393" s="11">
        <v>0</v>
      </c>
      <c r="F393" s="11">
        <v>0</v>
      </c>
      <c r="G393" s="11">
        <v>20</v>
      </c>
      <c r="H393" s="11">
        <v>1</v>
      </c>
      <c r="I393" s="11">
        <v>0</v>
      </c>
      <c r="J393" s="11">
        <v>0.33333332999999998</v>
      </c>
    </row>
    <row r="394" spans="1:10" x14ac:dyDescent="0.45">
      <c r="A394" s="11">
        <v>637</v>
      </c>
      <c r="B394" s="11" t="s">
        <v>1222</v>
      </c>
      <c r="C394" s="11">
        <v>0.18</v>
      </c>
      <c r="D394" s="11">
        <v>0</v>
      </c>
      <c r="E394" s="11">
        <v>0</v>
      </c>
      <c r="F394" s="11">
        <v>0</v>
      </c>
      <c r="G394" s="11">
        <v>17</v>
      </c>
      <c r="H394" s="11">
        <v>1</v>
      </c>
      <c r="I394" s="11">
        <v>0</v>
      </c>
      <c r="J394" s="11">
        <v>0.33333332999999998</v>
      </c>
    </row>
    <row r="395" spans="1:10" x14ac:dyDescent="0.45">
      <c r="A395" s="11">
        <v>638</v>
      </c>
      <c r="B395" s="11" t="s">
        <v>1223</v>
      </c>
      <c r="C395" s="11">
        <v>0.18</v>
      </c>
      <c r="D395" s="11">
        <v>0</v>
      </c>
      <c r="E395" s="11">
        <v>0</v>
      </c>
      <c r="F395" s="11">
        <v>0</v>
      </c>
      <c r="G395" s="11">
        <v>13</v>
      </c>
      <c r="H395" s="11">
        <v>1</v>
      </c>
      <c r="I395" s="11">
        <v>0</v>
      </c>
      <c r="J395" s="11">
        <v>0.33333332999999998</v>
      </c>
    </row>
    <row r="396" spans="1:10" x14ac:dyDescent="0.45">
      <c r="A396" s="11">
        <v>638</v>
      </c>
      <c r="B396" s="11" t="s">
        <v>1223</v>
      </c>
      <c r="C396" s="11">
        <v>0.18</v>
      </c>
      <c r="D396" s="11">
        <v>0</v>
      </c>
      <c r="E396" s="11">
        <v>0</v>
      </c>
      <c r="F396" s="11">
        <v>0</v>
      </c>
      <c r="G396" s="11">
        <v>20</v>
      </c>
      <c r="H396" s="11">
        <v>1</v>
      </c>
      <c r="I396" s="11">
        <v>0</v>
      </c>
      <c r="J396" s="11">
        <v>0.33333332999999998</v>
      </c>
    </row>
    <row r="397" spans="1:10" x14ac:dyDescent="0.45">
      <c r="A397" s="11">
        <v>638</v>
      </c>
      <c r="B397" s="11" t="s">
        <v>1223</v>
      </c>
      <c r="C397" s="11">
        <v>0.18</v>
      </c>
      <c r="D397" s="11">
        <v>0</v>
      </c>
      <c r="E397" s="11">
        <v>0</v>
      </c>
      <c r="F397" s="11">
        <v>0</v>
      </c>
      <c r="G397" s="11">
        <v>17</v>
      </c>
      <c r="H397" s="11">
        <v>1</v>
      </c>
      <c r="I397" s="11">
        <v>0</v>
      </c>
      <c r="J397" s="11">
        <v>0.33333332999999998</v>
      </c>
    </row>
    <row r="398" spans="1:10" x14ac:dyDescent="0.45">
      <c r="A398" s="11">
        <v>639</v>
      </c>
      <c r="B398" s="11" t="s">
        <v>1224</v>
      </c>
      <c r="C398" s="11">
        <v>0.18</v>
      </c>
      <c r="D398" s="11">
        <v>0</v>
      </c>
      <c r="E398" s="11">
        <v>0</v>
      </c>
      <c r="F398" s="11">
        <v>0</v>
      </c>
      <c r="G398" s="11">
        <v>30</v>
      </c>
      <c r="H398" s="11">
        <v>1</v>
      </c>
      <c r="I398" s="11">
        <v>0</v>
      </c>
      <c r="J398" s="11">
        <v>1</v>
      </c>
    </row>
    <row r="399" spans="1:10" x14ac:dyDescent="0.45">
      <c r="A399" s="11">
        <v>640</v>
      </c>
      <c r="B399" s="11" t="s">
        <v>1225</v>
      </c>
      <c r="C399" s="11">
        <v>0.18</v>
      </c>
      <c r="D399" s="11">
        <v>0</v>
      </c>
      <c r="E399" s="11">
        <v>0</v>
      </c>
      <c r="F399" s="11">
        <v>0</v>
      </c>
      <c r="G399" s="11">
        <v>13</v>
      </c>
      <c r="H399" s="11">
        <v>1</v>
      </c>
      <c r="I399" s="11">
        <v>0</v>
      </c>
      <c r="J399" s="11">
        <v>0.33333332999999998</v>
      </c>
    </row>
    <row r="400" spans="1:10" x14ac:dyDescent="0.45">
      <c r="A400" s="11">
        <v>640</v>
      </c>
      <c r="B400" s="11" t="s">
        <v>1225</v>
      </c>
      <c r="C400" s="11">
        <v>0.18</v>
      </c>
      <c r="D400" s="11">
        <v>0</v>
      </c>
      <c r="E400" s="11">
        <v>0</v>
      </c>
      <c r="F400" s="11">
        <v>0</v>
      </c>
      <c r="G400" s="11">
        <v>20</v>
      </c>
      <c r="H400" s="11">
        <v>1</v>
      </c>
      <c r="I400" s="11">
        <v>0</v>
      </c>
      <c r="J400" s="11">
        <v>0.33333332999999998</v>
      </c>
    </row>
    <row r="401" spans="1:10" x14ac:dyDescent="0.45">
      <c r="A401" s="11">
        <v>640</v>
      </c>
      <c r="B401" s="11" t="s">
        <v>1225</v>
      </c>
      <c r="C401" s="11">
        <v>0.18</v>
      </c>
      <c r="D401" s="11">
        <v>0</v>
      </c>
      <c r="E401" s="11">
        <v>0</v>
      </c>
      <c r="F401" s="11">
        <v>0</v>
      </c>
      <c r="G401" s="11">
        <v>17</v>
      </c>
      <c r="H401" s="11">
        <v>1</v>
      </c>
      <c r="I401" s="11">
        <v>0</v>
      </c>
      <c r="J401" s="11">
        <v>0.33333332999999998</v>
      </c>
    </row>
    <row r="402" spans="1:10" x14ac:dyDescent="0.45">
      <c r="A402" s="11">
        <v>641</v>
      </c>
      <c r="B402" s="11" t="s">
        <v>1226</v>
      </c>
      <c r="C402" s="11">
        <v>0.18</v>
      </c>
      <c r="D402" s="11">
        <v>0</v>
      </c>
      <c r="E402" s="11">
        <v>0</v>
      </c>
      <c r="F402" s="11">
        <v>0</v>
      </c>
      <c r="G402" s="11">
        <v>28</v>
      </c>
      <c r="H402" s="11">
        <v>1</v>
      </c>
      <c r="I402" s="11">
        <v>0</v>
      </c>
      <c r="J402" s="11">
        <v>0.5</v>
      </c>
    </row>
    <row r="403" spans="1:10" x14ac:dyDescent="0.45">
      <c r="A403" s="11">
        <v>641</v>
      </c>
      <c r="B403" s="11" t="s">
        <v>1226</v>
      </c>
      <c r="C403" s="11">
        <v>0.18</v>
      </c>
      <c r="D403" s="11">
        <v>0</v>
      </c>
      <c r="E403" s="11">
        <v>0</v>
      </c>
      <c r="F403" s="11">
        <v>0</v>
      </c>
      <c r="G403" s="11">
        <v>17</v>
      </c>
      <c r="H403" s="11">
        <v>1</v>
      </c>
      <c r="I403" s="11">
        <v>0</v>
      </c>
      <c r="J403" s="11">
        <v>0.5</v>
      </c>
    </row>
    <row r="404" spans="1:10" x14ac:dyDescent="0.45">
      <c r="A404" s="11">
        <v>642</v>
      </c>
      <c r="B404" s="11" t="s">
        <v>1227</v>
      </c>
      <c r="C404" s="11">
        <v>0</v>
      </c>
      <c r="D404" s="11">
        <v>1</v>
      </c>
      <c r="E404" s="11">
        <v>0</v>
      </c>
      <c r="F404" s="11">
        <v>0</v>
      </c>
      <c r="G404" s="11">
        <v>13</v>
      </c>
      <c r="H404" s="11">
        <v>1</v>
      </c>
      <c r="I404" s="11">
        <v>0</v>
      </c>
      <c r="J404" s="11">
        <v>0.5</v>
      </c>
    </row>
    <row r="405" spans="1:10" x14ac:dyDescent="0.45">
      <c r="A405" s="11">
        <v>642</v>
      </c>
      <c r="B405" s="11" t="s">
        <v>1227</v>
      </c>
      <c r="C405" s="11">
        <v>0</v>
      </c>
      <c r="D405" s="11">
        <v>1</v>
      </c>
      <c r="E405" s="11">
        <v>0</v>
      </c>
      <c r="F405" s="11">
        <v>0</v>
      </c>
      <c r="G405" s="11">
        <v>17</v>
      </c>
      <c r="H405" s="11">
        <v>1</v>
      </c>
      <c r="I405" s="11">
        <v>0</v>
      </c>
      <c r="J405" s="11">
        <v>0.5</v>
      </c>
    </row>
    <row r="406" spans="1:10" x14ac:dyDescent="0.45">
      <c r="A406" s="11">
        <v>643</v>
      </c>
      <c r="B406" s="11" t="s">
        <v>1228</v>
      </c>
      <c r="C406" s="11">
        <v>0</v>
      </c>
      <c r="D406" s="11">
        <v>1</v>
      </c>
      <c r="E406" s="11">
        <v>0</v>
      </c>
      <c r="F406" s="11">
        <v>0</v>
      </c>
      <c r="G406" s="11">
        <v>13</v>
      </c>
      <c r="H406" s="11">
        <v>1</v>
      </c>
      <c r="I406" s="11">
        <v>0</v>
      </c>
      <c r="J406" s="11">
        <v>0.5</v>
      </c>
    </row>
    <row r="407" spans="1:10" x14ac:dyDescent="0.45">
      <c r="A407" s="11">
        <v>643</v>
      </c>
      <c r="B407" s="11" t="s">
        <v>1228</v>
      </c>
      <c r="C407" s="11">
        <v>0</v>
      </c>
      <c r="D407" s="11">
        <v>1</v>
      </c>
      <c r="E407" s="11">
        <v>0</v>
      </c>
      <c r="F407" s="11">
        <v>0</v>
      </c>
      <c r="G407" s="11">
        <v>17</v>
      </c>
      <c r="H407" s="11">
        <v>1</v>
      </c>
      <c r="I407" s="11">
        <v>0</v>
      </c>
      <c r="J407" s="11">
        <v>0.5</v>
      </c>
    </row>
    <row r="408" spans="1:10" x14ac:dyDescent="0.45">
      <c r="A408" s="11">
        <v>644</v>
      </c>
      <c r="B408" s="11" t="s">
        <v>1229</v>
      </c>
      <c r="C408" s="11">
        <v>0.18</v>
      </c>
      <c r="D408" s="11">
        <v>0</v>
      </c>
      <c r="E408" s="11">
        <v>0</v>
      </c>
      <c r="F408" s="11">
        <v>-1.4570000000000001</v>
      </c>
      <c r="G408" s="11">
        <v>18</v>
      </c>
      <c r="H408" s="11">
        <v>1</v>
      </c>
      <c r="I408" s="11">
        <v>0</v>
      </c>
      <c r="J408" s="11">
        <v>0.5</v>
      </c>
    </row>
    <row r="409" spans="1:10" x14ac:dyDescent="0.45">
      <c r="A409" s="11">
        <v>644</v>
      </c>
      <c r="B409" s="11" t="s">
        <v>1229</v>
      </c>
      <c r="C409" s="11">
        <v>0.18</v>
      </c>
      <c r="D409" s="11">
        <v>0</v>
      </c>
      <c r="E409" s="11">
        <v>0</v>
      </c>
      <c r="F409" s="11">
        <v>-1.4570000000000001</v>
      </c>
      <c r="G409" s="11">
        <v>30</v>
      </c>
      <c r="H409" s="11">
        <v>1</v>
      </c>
      <c r="I409" s="11">
        <v>0</v>
      </c>
      <c r="J409" s="11">
        <v>0.5</v>
      </c>
    </row>
    <row r="410" spans="1:10" x14ac:dyDescent="0.45">
      <c r="A410" s="11">
        <v>645</v>
      </c>
      <c r="B410" s="11" t="s">
        <v>1230</v>
      </c>
      <c r="C410" s="11">
        <v>0</v>
      </c>
      <c r="D410" s="11">
        <v>1</v>
      </c>
      <c r="E410" s="11">
        <v>0</v>
      </c>
      <c r="F410" s="11">
        <v>-1.7069000000000001</v>
      </c>
      <c r="G410" s="11">
        <v>26</v>
      </c>
      <c r="H410" s="11">
        <v>1</v>
      </c>
      <c r="I410" s="11">
        <v>0</v>
      </c>
      <c r="J410" s="11">
        <v>1</v>
      </c>
    </row>
    <row r="411" spans="1:10" x14ac:dyDescent="0.45">
      <c r="A411" s="11">
        <v>646</v>
      </c>
      <c r="B411" s="11" t="s">
        <v>1231</v>
      </c>
      <c r="C411" s="11">
        <v>0</v>
      </c>
      <c r="D411" s="11">
        <v>1</v>
      </c>
      <c r="E411" s="11">
        <v>0</v>
      </c>
      <c r="F411" s="11">
        <v>-1.7069000000000001</v>
      </c>
      <c r="G411" s="11">
        <v>26</v>
      </c>
      <c r="H411" s="11">
        <v>1</v>
      </c>
      <c r="I411" s="11">
        <v>0</v>
      </c>
      <c r="J411" s="11">
        <v>1</v>
      </c>
    </row>
    <row r="412" spans="1:10" x14ac:dyDescent="0.45">
      <c r="A412" s="11">
        <v>647</v>
      </c>
      <c r="B412" s="11" t="s">
        <v>1232</v>
      </c>
      <c r="C412" s="11">
        <v>0.1</v>
      </c>
      <c r="D412" s="11">
        <v>0</v>
      </c>
      <c r="E412" s="11">
        <v>0</v>
      </c>
      <c r="F412" s="11">
        <v>0</v>
      </c>
      <c r="G412" s="11">
        <v>19</v>
      </c>
      <c r="H412" s="11">
        <v>1</v>
      </c>
      <c r="I412" s="11">
        <v>0</v>
      </c>
      <c r="J412" s="11">
        <v>1</v>
      </c>
    </row>
    <row r="413" spans="1:10" x14ac:dyDescent="0.45">
      <c r="A413" s="11">
        <v>648</v>
      </c>
      <c r="B413" s="11" t="s">
        <v>1233</v>
      </c>
      <c r="C413" s="11">
        <v>0.18</v>
      </c>
      <c r="D413" s="11">
        <v>0</v>
      </c>
      <c r="E413" s="11">
        <v>0</v>
      </c>
      <c r="F413" s="11">
        <v>0</v>
      </c>
      <c r="G413" s="11">
        <v>13</v>
      </c>
      <c r="H413" s="11">
        <v>1</v>
      </c>
      <c r="I413" s="11">
        <v>0</v>
      </c>
      <c r="J413" s="11">
        <v>0.5</v>
      </c>
    </row>
    <row r="414" spans="1:10" x14ac:dyDescent="0.45">
      <c r="A414" s="11">
        <v>648</v>
      </c>
      <c r="B414" s="11" t="s">
        <v>1233</v>
      </c>
      <c r="C414" s="11">
        <v>0.18</v>
      </c>
      <c r="D414" s="11">
        <v>0</v>
      </c>
      <c r="E414" s="11">
        <v>0</v>
      </c>
      <c r="F414" s="11">
        <v>0</v>
      </c>
      <c r="G414" s="11">
        <v>17</v>
      </c>
      <c r="H414" s="11">
        <v>1</v>
      </c>
      <c r="I414" s="11">
        <v>0</v>
      </c>
      <c r="J414" s="11">
        <v>0.5</v>
      </c>
    </row>
    <row r="415" spans="1:10" x14ac:dyDescent="0.45">
      <c r="A415" s="11">
        <v>649</v>
      </c>
      <c r="B415" s="11" t="s">
        <v>1234</v>
      </c>
      <c r="C415" s="11">
        <v>0.18</v>
      </c>
      <c r="D415" s="11">
        <v>0</v>
      </c>
      <c r="E415" s="11">
        <v>0</v>
      </c>
      <c r="F415" s="11">
        <v>0</v>
      </c>
      <c r="G415" s="11">
        <v>13</v>
      </c>
      <c r="H415" s="11">
        <v>1</v>
      </c>
      <c r="I415" s="11">
        <v>0</v>
      </c>
      <c r="J415" s="11">
        <v>0.5</v>
      </c>
    </row>
    <row r="416" spans="1:10" x14ac:dyDescent="0.45">
      <c r="A416" s="11">
        <v>649</v>
      </c>
      <c r="B416" s="11" t="s">
        <v>1234</v>
      </c>
      <c r="C416" s="11">
        <v>0.18</v>
      </c>
      <c r="D416" s="11">
        <v>0</v>
      </c>
      <c r="E416" s="11">
        <v>0</v>
      </c>
      <c r="F416" s="11">
        <v>0</v>
      </c>
      <c r="G416" s="11">
        <v>17</v>
      </c>
      <c r="H416" s="11">
        <v>1</v>
      </c>
      <c r="I416" s="11">
        <v>0</v>
      </c>
      <c r="J416" s="11">
        <v>0.5</v>
      </c>
    </row>
    <row r="417" spans="1:10" x14ac:dyDescent="0.45">
      <c r="A417" s="11">
        <v>650</v>
      </c>
      <c r="B417" s="11" t="s">
        <v>1235</v>
      </c>
      <c r="C417" s="11">
        <v>0.18</v>
      </c>
      <c r="D417" s="11">
        <v>0</v>
      </c>
      <c r="E417" s="11">
        <v>0</v>
      </c>
      <c r="F417" s="11">
        <v>0</v>
      </c>
      <c r="G417" s="11">
        <v>13</v>
      </c>
      <c r="H417" s="11">
        <v>1</v>
      </c>
      <c r="I417" s="11">
        <v>0</v>
      </c>
      <c r="J417" s="11">
        <v>0.5</v>
      </c>
    </row>
    <row r="418" spans="1:10" x14ac:dyDescent="0.45">
      <c r="A418" s="11">
        <v>650</v>
      </c>
      <c r="B418" s="11" t="s">
        <v>1235</v>
      </c>
      <c r="C418" s="11">
        <v>0.18</v>
      </c>
      <c r="D418" s="11">
        <v>0</v>
      </c>
      <c r="E418" s="11">
        <v>0</v>
      </c>
      <c r="F418" s="11">
        <v>0</v>
      </c>
      <c r="G418" s="11">
        <v>17</v>
      </c>
      <c r="H418" s="11">
        <v>1</v>
      </c>
      <c r="I418" s="11">
        <v>0</v>
      </c>
      <c r="J418" s="11">
        <v>0.5</v>
      </c>
    </row>
    <row r="419" spans="1:10" x14ac:dyDescent="0.45">
      <c r="A419" s="11">
        <v>651</v>
      </c>
      <c r="B419" s="11" t="s">
        <v>1236</v>
      </c>
      <c r="C419" s="11">
        <v>0.18</v>
      </c>
      <c r="D419" s="11">
        <v>0</v>
      </c>
      <c r="E419" s="11">
        <v>0</v>
      </c>
      <c r="F419" s="11">
        <v>0</v>
      </c>
      <c r="G419" s="11">
        <v>21</v>
      </c>
      <c r="H419" s="11">
        <v>1</v>
      </c>
      <c r="I419" s="11">
        <v>0</v>
      </c>
      <c r="J419" s="11">
        <v>1</v>
      </c>
    </row>
    <row r="420" spans="1:10" x14ac:dyDescent="0.45">
      <c r="A420" s="11">
        <v>652</v>
      </c>
      <c r="B420" s="11" t="s">
        <v>1237</v>
      </c>
      <c r="C420" s="11">
        <v>0</v>
      </c>
      <c r="D420" s="11">
        <v>1</v>
      </c>
      <c r="E420" s="11">
        <v>0</v>
      </c>
      <c r="F420" s="11">
        <v>-1.4570000000000001</v>
      </c>
      <c r="G420" s="11">
        <v>25</v>
      </c>
      <c r="H420" s="11">
        <v>1</v>
      </c>
      <c r="I420" s="11">
        <v>0</v>
      </c>
      <c r="J420" s="11">
        <v>1</v>
      </c>
    </row>
    <row r="421" spans="1:10" x14ac:dyDescent="0.45">
      <c r="A421" s="11">
        <v>653</v>
      </c>
      <c r="B421" s="11" t="s">
        <v>1238</v>
      </c>
      <c r="C421" s="11">
        <v>0</v>
      </c>
      <c r="D421" s="11">
        <v>1</v>
      </c>
      <c r="E421" s="11">
        <v>0</v>
      </c>
      <c r="F421" s="11">
        <v>-1.4570000000000001</v>
      </c>
      <c r="G421" s="11">
        <v>21</v>
      </c>
      <c r="H421" s="11">
        <v>1</v>
      </c>
      <c r="I421" s="11">
        <v>0</v>
      </c>
      <c r="J421" s="11">
        <v>1</v>
      </c>
    </row>
    <row r="422" spans="1:10" x14ac:dyDescent="0.45">
      <c r="A422" s="11">
        <v>654</v>
      </c>
      <c r="B422" s="11" t="s">
        <v>1239</v>
      </c>
      <c r="C422" s="11">
        <v>0</v>
      </c>
      <c r="D422" s="11">
        <v>1</v>
      </c>
      <c r="E422" s="11">
        <v>0</v>
      </c>
      <c r="F422" s="11">
        <v>-1.4570000000000001</v>
      </c>
      <c r="G422" s="11">
        <v>21</v>
      </c>
      <c r="H422" s="11">
        <v>1</v>
      </c>
      <c r="I422" s="11">
        <v>0</v>
      </c>
      <c r="J422" s="11">
        <v>1</v>
      </c>
    </row>
    <row r="423" spans="1:10" x14ac:dyDescent="0.45">
      <c r="A423" s="11">
        <v>656</v>
      </c>
      <c r="B423" s="11" t="s">
        <v>1240</v>
      </c>
      <c r="C423" s="11">
        <v>0.18</v>
      </c>
      <c r="D423" s="11">
        <v>0</v>
      </c>
      <c r="E423" s="11">
        <v>0</v>
      </c>
      <c r="F423" s="11">
        <v>0</v>
      </c>
      <c r="G423" s="11">
        <v>25</v>
      </c>
      <c r="H423" s="11">
        <v>1</v>
      </c>
      <c r="I423" s="11">
        <v>0</v>
      </c>
      <c r="J423" s="11">
        <v>1</v>
      </c>
    </row>
    <row r="424" spans="1:10" x14ac:dyDescent="0.45">
      <c r="A424" s="11">
        <v>657</v>
      </c>
      <c r="B424" s="11" t="s">
        <v>1241</v>
      </c>
      <c r="C424" s="11">
        <v>0.18</v>
      </c>
      <c r="D424" s="11">
        <v>0</v>
      </c>
      <c r="E424" s="11">
        <v>0</v>
      </c>
      <c r="F424" s="11">
        <v>0</v>
      </c>
      <c r="G424" s="11">
        <v>20</v>
      </c>
      <c r="H424" s="11">
        <v>1</v>
      </c>
      <c r="I424" s="11">
        <v>0</v>
      </c>
      <c r="J424" s="11">
        <v>0.5</v>
      </c>
    </row>
    <row r="425" spans="1:10" x14ac:dyDescent="0.45">
      <c r="A425" s="11">
        <v>657</v>
      </c>
      <c r="B425" s="11" t="s">
        <v>1241</v>
      </c>
      <c r="C425" s="11">
        <v>0.18</v>
      </c>
      <c r="D425" s="11">
        <v>0</v>
      </c>
      <c r="E425" s="11">
        <v>0</v>
      </c>
      <c r="F425" s="11">
        <v>0</v>
      </c>
      <c r="G425" s="11">
        <v>30</v>
      </c>
      <c r="H425" s="11">
        <v>1</v>
      </c>
      <c r="I425" s="11">
        <v>0</v>
      </c>
      <c r="J425" s="11">
        <v>0.5</v>
      </c>
    </row>
    <row r="426" spans="1:10" x14ac:dyDescent="0.45">
      <c r="A426" s="11">
        <v>701</v>
      </c>
      <c r="B426" s="11" t="s">
        <v>1242</v>
      </c>
      <c r="C426" s="11">
        <v>0</v>
      </c>
      <c r="D426" s="11">
        <v>1</v>
      </c>
      <c r="E426" s="11">
        <v>0</v>
      </c>
      <c r="F426" s="11">
        <v>-1.7069000000000001</v>
      </c>
      <c r="G426" s="11">
        <v>26</v>
      </c>
      <c r="H426" s="11">
        <v>1</v>
      </c>
      <c r="I426" s="11">
        <v>0</v>
      </c>
      <c r="J426" s="11">
        <v>1</v>
      </c>
    </row>
    <row r="427" spans="1:10" x14ac:dyDescent="0.45">
      <c r="A427" s="11">
        <v>702</v>
      </c>
      <c r="B427" s="11" t="s">
        <v>1243</v>
      </c>
      <c r="C427" s="11">
        <v>0</v>
      </c>
      <c r="D427" s="11">
        <v>1</v>
      </c>
      <c r="E427" s="11">
        <v>0</v>
      </c>
      <c r="F427" s="11">
        <v>-1.7069000000000001</v>
      </c>
      <c r="G427" s="11">
        <v>26</v>
      </c>
      <c r="H427" s="11">
        <v>1</v>
      </c>
      <c r="I427" s="11">
        <v>0</v>
      </c>
      <c r="J427" s="11">
        <v>1</v>
      </c>
    </row>
    <row r="428" spans="1:10" x14ac:dyDescent="0.45">
      <c r="A428" s="11">
        <v>703</v>
      </c>
      <c r="B428" s="11" t="s">
        <v>1244</v>
      </c>
      <c r="C428" s="11">
        <v>0</v>
      </c>
      <c r="D428" s="11">
        <v>1</v>
      </c>
      <c r="E428" s="11">
        <v>0</v>
      </c>
      <c r="F428" s="11">
        <v>0</v>
      </c>
      <c r="G428" s="11">
        <v>13</v>
      </c>
      <c r="H428" s="11">
        <v>1</v>
      </c>
      <c r="I428" s="11">
        <v>0</v>
      </c>
      <c r="J428" s="11">
        <v>0.5</v>
      </c>
    </row>
    <row r="429" spans="1:10" x14ac:dyDescent="0.45">
      <c r="A429" s="11">
        <v>703</v>
      </c>
      <c r="B429" s="11" t="s">
        <v>1244</v>
      </c>
      <c r="C429" s="11">
        <v>0</v>
      </c>
      <c r="D429" s="11">
        <v>1</v>
      </c>
      <c r="E429" s="11">
        <v>0</v>
      </c>
      <c r="F429" s="11">
        <v>0</v>
      </c>
      <c r="G429" s="11">
        <v>17</v>
      </c>
      <c r="H429" s="11">
        <v>1</v>
      </c>
      <c r="I429" s="11">
        <v>0</v>
      </c>
      <c r="J429" s="11">
        <v>0.5</v>
      </c>
    </row>
    <row r="430" spans="1:10" x14ac:dyDescent="0.45">
      <c r="A430" s="11">
        <v>704</v>
      </c>
      <c r="B430" s="11" t="s">
        <v>1245</v>
      </c>
      <c r="C430" s="11">
        <v>0</v>
      </c>
      <c r="D430" s="11">
        <v>1</v>
      </c>
      <c r="E430" s="11">
        <v>0</v>
      </c>
      <c r="F430" s="11">
        <v>0</v>
      </c>
      <c r="G430" s="11">
        <v>13</v>
      </c>
      <c r="H430" s="11">
        <v>1</v>
      </c>
      <c r="I430" s="11">
        <v>0</v>
      </c>
      <c r="J430" s="11">
        <v>0.5</v>
      </c>
    </row>
    <row r="431" spans="1:10" x14ac:dyDescent="0.45">
      <c r="A431" s="11">
        <v>704</v>
      </c>
      <c r="B431" s="11" t="s">
        <v>1245</v>
      </c>
      <c r="C431" s="11">
        <v>0</v>
      </c>
      <c r="D431" s="11">
        <v>1</v>
      </c>
      <c r="E431" s="11">
        <v>0</v>
      </c>
      <c r="F431" s="11">
        <v>0</v>
      </c>
      <c r="G431" s="11">
        <v>17</v>
      </c>
      <c r="H431" s="11">
        <v>1</v>
      </c>
      <c r="I431" s="11">
        <v>0</v>
      </c>
      <c r="J431" s="11">
        <v>0.5</v>
      </c>
    </row>
    <row r="432" spans="1:10" x14ac:dyDescent="0.45">
      <c r="A432" s="11">
        <v>705</v>
      </c>
      <c r="B432" s="11" t="s">
        <v>1246</v>
      </c>
      <c r="C432" s="11">
        <v>0.18</v>
      </c>
      <c r="D432" s="11">
        <v>0</v>
      </c>
      <c r="E432" s="11">
        <v>0</v>
      </c>
      <c r="F432" s="11">
        <v>0</v>
      </c>
      <c r="G432" s="11">
        <v>13</v>
      </c>
      <c r="H432" s="11">
        <v>1</v>
      </c>
      <c r="I432" s="11">
        <v>0</v>
      </c>
      <c r="J432" s="11">
        <v>0.5</v>
      </c>
    </row>
    <row r="433" spans="1:10" x14ac:dyDescent="0.45">
      <c r="A433" s="11">
        <v>705</v>
      </c>
      <c r="B433" s="11" t="s">
        <v>1246</v>
      </c>
      <c r="C433" s="11">
        <v>0.18</v>
      </c>
      <c r="D433" s="11">
        <v>0</v>
      </c>
      <c r="E433" s="11">
        <v>0</v>
      </c>
      <c r="F433" s="11">
        <v>0</v>
      </c>
      <c r="G433" s="11">
        <v>17</v>
      </c>
      <c r="H433" s="11">
        <v>1</v>
      </c>
      <c r="I433" s="11">
        <v>0</v>
      </c>
      <c r="J433" s="11">
        <v>0.5</v>
      </c>
    </row>
    <row r="434" spans="1:10" x14ac:dyDescent="0.45">
      <c r="A434" s="11">
        <v>706</v>
      </c>
      <c r="B434" s="11" t="s">
        <v>1247</v>
      </c>
      <c r="C434" s="11">
        <v>0.18</v>
      </c>
      <c r="D434" s="11">
        <v>0</v>
      </c>
      <c r="E434" s="11">
        <v>0</v>
      </c>
      <c r="F434" s="11">
        <v>-1.4570000000000001</v>
      </c>
      <c r="G434" s="11">
        <v>19</v>
      </c>
      <c r="H434" s="11">
        <v>1</v>
      </c>
      <c r="I434" s="11">
        <v>0</v>
      </c>
      <c r="J434" s="11">
        <v>1</v>
      </c>
    </row>
    <row r="435" spans="1:10" x14ac:dyDescent="0.45">
      <c r="A435" s="11">
        <v>707</v>
      </c>
      <c r="B435" s="11" t="s">
        <v>1248</v>
      </c>
      <c r="C435" s="11">
        <v>0.18</v>
      </c>
      <c r="D435" s="11">
        <v>0</v>
      </c>
      <c r="E435" s="11">
        <v>0</v>
      </c>
      <c r="F435" s="11">
        <v>-1.4570000000000001</v>
      </c>
      <c r="G435" s="11">
        <v>18</v>
      </c>
      <c r="H435" s="11">
        <v>1</v>
      </c>
      <c r="I435" s="11">
        <v>0</v>
      </c>
      <c r="J435" s="11">
        <v>1</v>
      </c>
    </row>
    <row r="436" spans="1:10" x14ac:dyDescent="0.45">
      <c r="A436" s="11">
        <v>708</v>
      </c>
      <c r="B436" s="11" t="s">
        <v>1249</v>
      </c>
      <c r="C436" s="11">
        <v>0.18</v>
      </c>
      <c r="D436" s="11">
        <v>0</v>
      </c>
      <c r="E436" s="11">
        <v>0</v>
      </c>
      <c r="F436" s="11">
        <v>-1.7069000000000001</v>
      </c>
      <c r="G436" s="11">
        <v>26</v>
      </c>
      <c r="H436" s="11">
        <v>1</v>
      </c>
      <c r="I436" s="11">
        <v>0</v>
      </c>
      <c r="J436" s="11">
        <v>1</v>
      </c>
    </row>
    <row r="437" spans="1:10" x14ac:dyDescent="0.45">
      <c r="A437" s="11">
        <v>709</v>
      </c>
      <c r="B437" s="11" t="s">
        <v>1250</v>
      </c>
      <c r="C437" s="11">
        <v>0</v>
      </c>
      <c r="D437" s="11">
        <v>1</v>
      </c>
      <c r="E437" s="11">
        <v>0</v>
      </c>
      <c r="F437" s="11">
        <v>-1.7069000000000001</v>
      </c>
      <c r="G437" s="11">
        <v>26</v>
      </c>
      <c r="H437" s="11">
        <v>1</v>
      </c>
      <c r="I437" s="11">
        <v>0</v>
      </c>
      <c r="J437" s="11">
        <v>1</v>
      </c>
    </row>
    <row r="438" spans="1:10" x14ac:dyDescent="0.45">
      <c r="A438" s="11">
        <v>710</v>
      </c>
      <c r="B438" s="11" t="s">
        <v>1251</v>
      </c>
      <c r="C438" s="11">
        <v>0</v>
      </c>
      <c r="D438" s="11">
        <v>1</v>
      </c>
      <c r="E438" s="11">
        <v>0</v>
      </c>
      <c r="F438" s="11">
        <v>-1.7069000000000001</v>
      </c>
      <c r="G438" s="11">
        <v>26</v>
      </c>
      <c r="H438" s="11">
        <v>1</v>
      </c>
      <c r="I438" s="11">
        <v>0</v>
      </c>
      <c r="J438" s="11">
        <v>1</v>
      </c>
    </row>
    <row r="439" spans="1:10" x14ac:dyDescent="0.45">
      <c r="A439" s="11">
        <v>711</v>
      </c>
      <c r="B439" s="11" t="s">
        <v>1252</v>
      </c>
      <c r="C439" s="11">
        <v>0</v>
      </c>
      <c r="D439" s="11">
        <v>1</v>
      </c>
      <c r="E439" s="11">
        <v>0</v>
      </c>
      <c r="F439" s="11">
        <v>0</v>
      </c>
      <c r="G439" s="11">
        <v>13</v>
      </c>
      <c r="H439" s="11">
        <v>1</v>
      </c>
      <c r="I439" s="11">
        <v>0</v>
      </c>
      <c r="J439" s="11">
        <v>0.5</v>
      </c>
    </row>
    <row r="440" spans="1:10" x14ac:dyDescent="0.45">
      <c r="A440" s="11">
        <v>711</v>
      </c>
      <c r="B440" s="11" t="s">
        <v>1252</v>
      </c>
      <c r="C440" s="11">
        <v>0</v>
      </c>
      <c r="D440" s="11">
        <v>1</v>
      </c>
      <c r="E440" s="11">
        <v>0</v>
      </c>
      <c r="F440" s="11">
        <v>0</v>
      </c>
      <c r="G440" s="11">
        <v>17</v>
      </c>
      <c r="H440" s="11">
        <v>1</v>
      </c>
      <c r="I440" s="11">
        <v>0</v>
      </c>
      <c r="J440" s="11">
        <v>0.5</v>
      </c>
    </row>
    <row r="441" spans="1:10" x14ac:dyDescent="0.45">
      <c r="A441" s="11">
        <v>712</v>
      </c>
      <c r="B441" s="11" t="s">
        <v>1253</v>
      </c>
      <c r="C441" s="11">
        <v>0</v>
      </c>
      <c r="D441" s="11">
        <v>1</v>
      </c>
      <c r="E441" s="11">
        <v>0</v>
      </c>
      <c r="F441" s="11">
        <v>0</v>
      </c>
      <c r="G441" s="11">
        <v>13</v>
      </c>
      <c r="H441" s="11">
        <v>1</v>
      </c>
      <c r="I441" s="11">
        <v>0</v>
      </c>
      <c r="J441" s="11">
        <v>0.5</v>
      </c>
    </row>
    <row r="442" spans="1:10" x14ac:dyDescent="0.45">
      <c r="A442" s="11">
        <v>712</v>
      </c>
      <c r="B442" s="11" t="s">
        <v>1253</v>
      </c>
      <c r="C442" s="11">
        <v>0</v>
      </c>
      <c r="D442" s="11">
        <v>1</v>
      </c>
      <c r="E442" s="11">
        <v>0</v>
      </c>
      <c r="F442" s="11">
        <v>0</v>
      </c>
      <c r="G442" s="11">
        <v>17</v>
      </c>
      <c r="H442" s="11">
        <v>1</v>
      </c>
      <c r="I442" s="11">
        <v>0</v>
      </c>
      <c r="J442" s="11">
        <v>0.5</v>
      </c>
    </row>
    <row r="443" spans="1:10" x14ac:dyDescent="0.45">
      <c r="A443" s="11">
        <v>713</v>
      </c>
      <c r="B443" s="11" t="s">
        <v>1254</v>
      </c>
      <c r="C443" s="11">
        <v>0.18</v>
      </c>
      <c r="D443" s="11">
        <v>0</v>
      </c>
      <c r="E443" s="11">
        <v>0</v>
      </c>
      <c r="F443" s="11">
        <v>0</v>
      </c>
      <c r="G443" s="11">
        <v>13</v>
      </c>
      <c r="H443" s="11">
        <v>1</v>
      </c>
      <c r="I443" s="11">
        <v>0</v>
      </c>
      <c r="J443" s="11">
        <v>0.5</v>
      </c>
    </row>
    <row r="444" spans="1:10" x14ac:dyDescent="0.45">
      <c r="A444" s="11">
        <v>713</v>
      </c>
      <c r="B444" s="11" t="s">
        <v>1254</v>
      </c>
      <c r="C444" s="11">
        <v>0.18</v>
      </c>
      <c r="D444" s="11">
        <v>0</v>
      </c>
      <c r="E444" s="11">
        <v>0</v>
      </c>
      <c r="F444" s="11">
        <v>0</v>
      </c>
      <c r="G444" s="11">
        <v>17</v>
      </c>
      <c r="H444" s="11">
        <v>1</v>
      </c>
      <c r="I444" s="11">
        <v>0</v>
      </c>
      <c r="J444" s="11">
        <v>0.5</v>
      </c>
    </row>
    <row r="445" spans="1:10" x14ac:dyDescent="0.45">
      <c r="A445" s="11">
        <v>714</v>
      </c>
      <c r="B445" s="11" t="s">
        <v>1255</v>
      </c>
      <c r="C445" s="11">
        <v>0.18</v>
      </c>
      <c r="D445" s="11">
        <v>0</v>
      </c>
      <c r="E445" s="11">
        <v>0</v>
      </c>
      <c r="F445" s="11">
        <v>-1.4570000000000001</v>
      </c>
      <c r="G445" s="11">
        <v>19</v>
      </c>
      <c r="H445" s="11">
        <v>1</v>
      </c>
      <c r="I445" s="11">
        <v>0</v>
      </c>
      <c r="J445" s="11">
        <v>1</v>
      </c>
    </row>
    <row r="446" spans="1:10" x14ac:dyDescent="0.45">
      <c r="A446" s="11">
        <v>715</v>
      </c>
      <c r="B446" s="11" t="s">
        <v>1256</v>
      </c>
      <c r="C446" s="11">
        <v>0.18</v>
      </c>
      <c r="D446" s="11">
        <v>0</v>
      </c>
      <c r="E446" s="11">
        <v>0</v>
      </c>
      <c r="F446" s="11">
        <v>-1.4570000000000001</v>
      </c>
      <c r="G446" s="11">
        <v>18</v>
      </c>
      <c r="H446" s="11">
        <v>1</v>
      </c>
      <c r="I446" s="11">
        <v>0</v>
      </c>
      <c r="J446" s="11">
        <v>1</v>
      </c>
    </row>
    <row r="447" spans="1:10" x14ac:dyDescent="0.45">
      <c r="A447" s="11">
        <v>716</v>
      </c>
      <c r="B447" s="11" t="s">
        <v>1257</v>
      </c>
      <c r="C447" s="11">
        <v>0.18</v>
      </c>
      <c r="D447" s="11">
        <v>0</v>
      </c>
      <c r="E447" s="11">
        <v>0</v>
      </c>
      <c r="F447" s="11">
        <v>-1.7069000000000001</v>
      </c>
      <c r="G447" s="11">
        <v>26</v>
      </c>
      <c r="H447" s="11">
        <v>1</v>
      </c>
      <c r="I447" s="11">
        <v>0</v>
      </c>
      <c r="J447" s="11">
        <v>1</v>
      </c>
    </row>
    <row r="448" spans="1:10" x14ac:dyDescent="0.45">
      <c r="A448" s="11">
        <v>717</v>
      </c>
      <c r="B448" s="11" t="s">
        <v>1258</v>
      </c>
      <c r="C448" s="11">
        <v>0</v>
      </c>
      <c r="D448" s="11">
        <v>1</v>
      </c>
      <c r="E448" s="11">
        <v>0</v>
      </c>
      <c r="F448" s="11">
        <v>-1.7069000000000001</v>
      </c>
      <c r="G448" s="11">
        <v>26</v>
      </c>
      <c r="H448" s="11">
        <v>1</v>
      </c>
      <c r="I448" s="11">
        <v>0</v>
      </c>
      <c r="J448" s="11">
        <v>1</v>
      </c>
    </row>
    <row r="449" spans="1:10" x14ac:dyDescent="0.45">
      <c r="A449" s="11">
        <v>718</v>
      </c>
      <c r="B449" s="11" t="s">
        <v>1259</v>
      </c>
      <c r="C449" s="11">
        <v>0</v>
      </c>
      <c r="D449" s="11">
        <v>1</v>
      </c>
      <c r="E449" s="11">
        <v>0</v>
      </c>
      <c r="F449" s="11">
        <v>-1.7069000000000001</v>
      </c>
      <c r="G449" s="11">
        <v>26</v>
      </c>
      <c r="H449" s="11">
        <v>1</v>
      </c>
      <c r="I449" s="11">
        <v>0</v>
      </c>
      <c r="J449" s="11">
        <v>1</v>
      </c>
    </row>
    <row r="450" spans="1:10" x14ac:dyDescent="0.45">
      <c r="A450" s="11">
        <v>719</v>
      </c>
      <c r="B450" s="11" t="s">
        <v>1260</v>
      </c>
      <c r="C450" s="11">
        <v>0</v>
      </c>
      <c r="D450" s="11">
        <v>1</v>
      </c>
      <c r="E450" s="11">
        <v>0</v>
      </c>
      <c r="F450" s="11">
        <v>0</v>
      </c>
      <c r="G450" s="11">
        <v>13</v>
      </c>
      <c r="H450" s="11">
        <v>1</v>
      </c>
      <c r="I450" s="11">
        <v>0</v>
      </c>
      <c r="J450" s="11">
        <v>0.5</v>
      </c>
    </row>
    <row r="451" spans="1:10" x14ac:dyDescent="0.45">
      <c r="A451" s="11">
        <v>719</v>
      </c>
      <c r="B451" s="11" t="s">
        <v>1260</v>
      </c>
      <c r="C451" s="11">
        <v>0</v>
      </c>
      <c r="D451" s="11">
        <v>1</v>
      </c>
      <c r="E451" s="11">
        <v>0</v>
      </c>
      <c r="F451" s="11">
        <v>0</v>
      </c>
      <c r="G451" s="11">
        <v>17</v>
      </c>
      <c r="H451" s="11">
        <v>1</v>
      </c>
      <c r="I451" s="11">
        <v>0</v>
      </c>
      <c r="J451" s="11">
        <v>0.5</v>
      </c>
    </row>
    <row r="452" spans="1:10" x14ac:dyDescent="0.45">
      <c r="A452" s="11">
        <v>720</v>
      </c>
      <c r="B452" s="11" t="s">
        <v>1261</v>
      </c>
      <c r="C452" s="11">
        <v>0</v>
      </c>
      <c r="D452" s="11">
        <v>1</v>
      </c>
      <c r="E452" s="11">
        <v>0</v>
      </c>
      <c r="F452" s="11">
        <v>0</v>
      </c>
      <c r="G452" s="11">
        <v>13</v>
      </c>
      <c r="H452" s="11">
        <v>1</v>
      </c>
      <c r="I452" s="11">
        <v>0</v>
      </c>
      <c r="J452" s="11">
        <v>0.5</v>
      </c>
    </row>
    <row r="453" spans="1:10" x14ac:dyDescent="0.45">
      <c r="A453" s="11">
        <v>720</v>
      </c>
      <c r="B453" s="11" t="s">
        <v>1261</v>
      </c>
      <c r="C453" s="11">
        <v>0</v>
      </c>
      <c r="D453" s="11">
        <v>1</v>
      </c>
      <c r="E453" s="11">
        <v>0</v>
      </c>
      <c r="F453" s="11">
        <v>0</v>
      </c>
      <c r="G453" s="11">
        <v>17</v>
      </c>
      <c r="H453" s="11">
        <v>1</v>
      </c>
      <c r="I453" s="11">
        <v>0</v>
      </c>
      <c r="J453" s="11">
        <v>0.5</v>
      </c>
    </row>
    <row r="454" spans="1:10" x14ac:dyDescent="0.45">
      <c r="A454" s="11">
        <v>721</v>
      </c>
      <c r="B454" s="11" t="s">
        <v>1262</v>
      </c>
      <c r="C454" s="11">
        <v>0.18</v>
      </c>
      <c r="D454" s="11">
        <v>0</v>
      </c>
      <c r="E454" s="11">
        <v>0</v>
      </c>
      <c r="F454" s="11">
        <v>0</v>
      </c>
      <c r="G454" s="11">
        <v>13</v>
      </c>
      <c r="H454" s="11">
        <v>1</v>
      </c>
      <c r="I454" s="11">
        <v>0</v>
      </c>
      <c r="J454" s="11">
        <v>0.5</v>
      </c>
    </row>
    <row r="455" spans="1:10" x14ac:dyDescent="0.45">
      <c r="A455" s="11">
        <v>721</v>
      </c>
      <c r="B455" s="11" t="s">
        <v>1262</v>
      </c>
      <c r="C455" s="11">
        <v>0.18</v>
      </c>
      <c r="D455" s="11">
        <v>0</v>
      </c>
      <c r="E455" s="11">
        <v>0</v>
      </c>
      <c r="F455" s="11">
        <v>0</v>
      </c>
      <c r="G455" s="11">
        <v>17</v>
      </c>
      <c r="H455" s="11">
        <v>1</v>
      </c>
      <c r="I455" s="11">
        <v>0</v>
      </c>
      <c r="J455" s="11">
        <v>0.5</v>
      </c>
    </row>
    <row r="456" spans="1:10" x14ac:dyDescent="0.45">
      <c r="A456" s="11">
        <v>722</v>
      </c>
      <c r="B456" s="11" t="s">
        <v>1263</v>
      </c>
      <c r="C456" s="11">
        <v>0.18</v>
      </c>
      <c r="D456" s="11">
        <v>0</v>
      </c>
      <c r="E456" s="11">
        <v>0</v>
      </c>
      <c r="F456" s="11">
        <v>-1.4570000000000001</v>
      </c>
      <c r="G456" s="11">
        <v>19</v>
      </c>
      <c r="H456" s="11">
        <v>1</v>
      </c>
      <c r="I456" s="11">
        <v>0</v>
      </c>
      <c r="J456" s="11">
        <v>1</v>
      </c>
    </row>
    <row r="457" spans="1:10" x14ac:dyDescent="0.45">
      <c r="A457" s="11">
        <v>723</v>
      </c>
      <c r="B457" s="11" t="s">
        <v>1264</v>
      </c>
      <c r="C457" s="11">
        <v>0.18</v>
      </c>
      <c r="D457" s="11">
        <v>0</v>
      </c>
      <c r="E457" s="11">
        <v>0</v>
      </c>
      <c r="F457" s="11">
        <v>-1.4570000000000001</v>
      </c>
      <c r="G457" s="11">
        <v>18</v>
      </c>
      <c r="H457" s="11">
        <v>1</v>
      </c>
      <c r="I457" s="11">
        <v>0</v>
      </c>
      <c r="J457" s="11">
        <v>1</v>
      </c>
    </row>
    <row r="458" spans="1:10" x14ac:dyDescent="0.45">
      <c r="A458" s="11">
        <v>724</v>
      </c>
      <c r="B458" s="11" t="s">
        <v>1265</v>
      </c>
      <c r="C458" s="11">
        <v>0.18</v>
      </c>
      <c r="D458" s="11">
        <v>0</v>
      </c>
      <c r="E458" s="11">
        <v>0</v>
      </c>
      <c r="F458" s="11">
        <v>-1.7069000000000001</v>
      </c>
      <c r="G458" s="11">
        <v>26</v>
      </c>
      <c r="H458" s="11">
        <v>1</v>
      </c>
      <c r="I458" s="11">
        <v>0</v>
      </c>
      <c r="J458" s="11">
        <v>1</v>
      </c>
    </row>
    <row r="459" spans="1:10" x14ac:dyDescent="0.45">
      <c r="A459" s="11">
        <v>725</v>
      </c>
      <c r="B459" s="11" t="s">
        <v>1266</v>
      </c>
      <c r="C459" s="11">
        <v>0</v>
      </c>
      <c r="D459" s="11">
        <v>1</v>
      </c>
      <c r="E459" s="11">
        <v>0</v>
      </c>
      <c r="F459" s="11">
        <v>-1.7069000000000001</v>
      </c>
      <c r="G459" s="11">
        <v>26</v>
      </c>
      <c r="H459" s="11">
        <v>1</v>
      </c>
      <c r="I459" s="11">
        <v>0</v>
      </c>
      <c r="J459" s="11">
        <v>1</v>
      </c>
    </row>
    <row r="460" spans="1:10" x14ac:dyDescent="0.45">
      <c r="A460" s="11">
        <v>726</v>
      </c>
      <c r="B460" s="11" t="s">
        <v>1267</v>
      </c>
      <c r="C460" s="11">
        <v>0</v>
      </c>
      <c r="D460" s="11">
        <v>1</v>
      </c>
      <c r="E460" s="11">
        <v>0</v>
      </c>
      <c r="F460" s="11">
        <v>-1.7069000000000001</v>
      </c>
      <c r="G460" s="11">
        <v>26</v>
      </c>
      <c r="H460" s="11">
        <v>1</v>
      </c>
      <c r="I460" s="11">
        <v>0</v>
      </c>
      <c r="J460" s="11">
        <v>1</v>
      </c>
    </row>
    <row r="461" spans="1:10" x14ac:dyDescent="0.45">
      <c r="A461" s="11">
        <v>727</v>
      </c>
      <c r="B461" s="11" t="s">
        <v>1268</v>
      </c>
      <c r="C461" s="11">
        <v>0</v>
      </c>
      <c r="D461" s="11">
        <v>1</v>
      </c>
      <c r="E461" s="11">
        <v>0</v>
      </c>
      <c r="F461" s="11">
        <v>0</v>
      </c>
      <c r="G461" s="11">
        <v>13</v>
      </c>
      <c r="H461" s="11">
        <v>1</v>
      </c>
      <c r="I461" s="11">
        <v>0</v>
      </c>
      <c r="J461" s="11">
        <v>0.5</v>
      </c>
    </row>
    <row r="462" spans="1:10" x14ac:dyDescent="0.45">
      <c r="A462" s="11">
        <v>727</v>
      </c>
      <c r="B462" s="11" t="s">
        <v>1268</v>
      </c>
      <c r="C462" s="11">
        <v>0</v>
      </c>
      <c r="D462" s="11">
        <v>1</v>
      </c>
      <c r="E462" s="11">
        <v>0</v>
      </c>
      <c r="F462" s="11">
        <v>0</v>
      </c>
      <c r="G462" s="11">
        <v>17</v>
      </c>
      <c r="H462" s="11">
        <v>1</v>
      </c>
      <c r="I462" s="11">
        <v>0</v>
      </c>
      <c r="J462" s="11">
        <v>0.5</v>
      </c>
    </row>
    <row r="463" spans="1:10" x14ac:dyDescent="0.45">
      <c r="A463" s="11">
        <v>728</v>
      </c>
      <c r="B463" s="11" t="s">
        <v>1269</v>
      </c>
      <c r="C463" s="11">
        <v>0</v>
      </c>
      <c r="D463" s="11">
        <v>1</v>
      </c>
      <c r="E463" s="11">
        <v>0</v>
      </c>
      <c r="F463" s="11">
        <v>0</v>
      </c>
      <c r="G463" s="11">
        <v>13</v>
      </c>
      <c r="H463" s="11">
        <v>1</v>
      </c>
      <c r="I463" s="11">
        <v>0</v>
      </c>
      <c r="J463" s="11">
        <v>0.5</v>
      </c>
    </row>
    <row r="464" spans="1:10" x14ac:dyDescent="0.45">
      <c r="A464" s="11">
        <v>728</v>
      </c>
      <c r="B464" s="11" t="s">
        <v>1269</v>
      </c>
      <c r="C464" s="11">
        <v>0</v>
      </c>
      <c r="D464" s="11">
        <v>1</v>
      </c>
      <c r="E464" s="11">
        <v>0</v>
      </c>
      <c r="F464" s="11">
        <v>0</v>
      </c>
      <c r="G464" s="11">
        <v>17</v>
      </c>
      <c r="H464" s="11">
        <v>1</v>
      </c>
      <c r="I464" s="11">
        <v>0</v>
      </c>
      <c r="J464" s="11">
        <v>0.5</v>
      </c>
    </row>
    <row r="465" spans="1:10" x14ac:dyDescent="0.45">
      <c r="A465" s="11">
        <v>729</v>
      </c>
      <c r="B465" s="11" t="s">
        <v>1270</v>
      </c>
      <c r="C465" s="11">
        <v>0.18</v>
      </c>
      <c r="D465" s="11">
        <v>0</v>
      </c>
      <c r="E465" s="11">
        <v>0</v>
      </c>
      <c r="F465" s="11">
        <v>0</v>
      </c>
      <c r="G465" s="11">
        <v>13</v>
      </c>
      <c r="H465" s="11">
        <v>1</v>
      </c>
      <c r="I465" s="11">
        <v>0</v>
      </c>
      <c r="J465" s="11">
        <v>0.5</v>
      </c>
    </row>
    <row r="466" spans="1:10" x14ac:dyDescent="0.45">
      <c r="A466" s="11">
        <v>729</v>
      </c>
      <c r="B466" s="11" t="s">
        <v>1270</v>
      </c>
      <c r="C466" s="11">
        <v>0.18</v>
      </c>
      <c r="D466" s="11">
        <v>0</v>
      </c>
      <c r="E466" s="11">
        <v>0</v>
      </c>
      <c r="F466" s="11">
        <v>0</v>
      </c>
      <c r="G466" s="11">
        <v>17</v>
      </c>
      <c r="H466" s="11">
        <v>1</v>
      </c>
      <c r="I466" s="11">
        <v>0</v>
      </c>
      <c r="J466" s="11">
        <v>0.5</v>
      </c>
    </row>
    <row r="467" spans="1:10" x14ac:dyDescent="0.45">
      <c r="A467" s="11">
        <v>730</v>
      </c>
      <c r="B467" s="11" t="s">
        <v>1271</v>
      </c>
      <c r="C467" s="11">
        <v>0.18</v>
      </c>
      <c r="D467" s="11">
        <v>0</v>
      </c>
      <c r="E467" s="11">
        <v>0</v>
      </c>
      <c r="F467" s="11">
        <v>-1.4570000000000001</v>
      </c>
      <c r="G467" s="11">
        <v>19</v>
      </c>
      <c r="H467" s="11">
        <v>1</v>
      </c>
      <c r="I467" s="11">
        <v>0</v>
      </c>
      <c r="J467" s="11">
        <v>1</v>
      </c>
    </row>
    <row r="468" spans="1:10" x14ac:dyDescent="0.45">
      <c r="A468" s="11">
        <v>731</v>
      </c>
      <c r="B468" s="11" t="s">
        <v>1272</v>
      </c>
      <c r="C468" s="11">
        <v>0.18</v>
      </c>
      <c r="D468" s="11">
        <v>0</v>
      </c>
      <c r="E468" s="11">
        <v>0</v>
      </c>
      <c r="F468" s="11">
        <v>-1.4570000000000001</v>
      </c>
      <c r="G468" s="11">
        <v>18</v>
      </c>
      <c r="H468" s="11">
        <v>1</v>
      </c>
      <c r="I468" s="11">
        <v>0</v>
      </c>
      <c r="J468" s="11">
        <v>1</v>
      </c>
    </row>
    <row r="469" spans="1:10" x14ac:dyDescent="0.45">
      <c r="A469" s="11">
        <v>732</v>
      </c>
      <c r="B469" s="11" t="s">
        <v>1273</v>
      </c>
      <c r="C469" s="11">
        <v>0.18</v>
      </c>
      <c r="D469" s="11">
        <v>0</v>
      </c>
      <c r="E469" s="11">
        <v>0</v>
      </c>
      <c r="F469" s="11">
        <v>-1.7069000000000001</v>
      </c>
      <c r="G469" s="11">
        <v>26</v>
      </c>
      <c r="H469" s="11">
        <v>1</v>
      </c>
      <c r="I469" s="11">
        <v>0</v>
      </c>
      <c r="J469" s="11">
        <v>1</v>
      </c>
    </row>
    <row r="470" spans="1:10" x14ac:dyDescent="0.45">
      <c r="A470" s="11">
        <v>733</v>
      </c>
      <c r="B470" s="11" t="s">
        <v>1274</v>
      </c>
      <c r="C470" s="11">
        <v>0</v>
      </c>
      <c r="D470" s="11">
        <v>1</v>
      </c>
      <c r="E470" s="11">
        <v>0</v>
      </c>
      <c r="F470" s="11">
        <v>-1.7069000000000001</v>
      </c>
      <c r="G470" s="11">
        <v>26</v>
      </c>
      <c r="H470" s="11">
        <v>1</v>
      </c>
      <c r="I470" s="11">
        <v>0</v>
      </c>
      <c r="J470" s="11">
        <v>1</v>
      </c>
    </row>
    <row r="471" spans="1:10" x14ac:dyDescent="0.45">
      <c r="A471" s="11">
        <v>734</v>
      </c>
      <c r="B471" s="11" t="s">
        <v>1275</v>
      </c>
      <c r="C471" s="11">
        <v>0</v>
      </c>
      <c r="D471" s="11">
        <v>1</v>
      </c>
      <c r="E471" s="11">
        <v>0</v>
      </c>
      <c r="F471" s="11">
        <v>-1.7069000000000001</v>
      </c>
      <c r="G471" s="11">
        <v>26</v>
      </c>
      <c r="H471" s="11">
        <v>1</v>
      </c>
      <c r="I471" s="11">
        <v>0</v>
      </c>
      <c r="J471" s="11">
        <v>1</v>
      </c>
    </row>
    <row r="472" spans="1:10" x14ac:dyDescent="0.45">
      <c r="A472" s="11">
        <v>735</v>
      </c>
      <c r="B472" s="11" t="s">
        <v>1276</v>
      </c>
      <c r="C472" s="11">
        <v>0</v>
      </c>
      <c r="D472" s="11">
        <v>1</v>
      </c>
      <c r="E472" s="11">
        <v>0</v>
      </c>
      <c r="F472" s="11">
        <v>0</v>
      </c>
      <c r="G472" s="11">
        <v>13</v>
      </c>
      <c r="H472" s="11">
        <v>1</v>
      </c>
      <c r="I472" s="11">
        <v>0</v>
      </c>
      <c r="J472" s="11">
        <v>0.5</v>
      </c>
    </row>
    <row r="473" spans="1:10" x14ac:dyDescent="0.45">
      <c r="A473" s="11">
        <v>735</v>
      </c>
      <c r="B473" s="11" t="s">
        <v>1276</v>
      </c>
      <c r="C473" s="11">
        <v>0</v>
      </c>
      <c r="D473" s="11">
        <v>1</v>
      </c>
      <c r="E473" s="11">
        <v>0</v>
      </c>
      <c r="F473" s="11">
        <v>0</v>
      </c>
      <c r="G473" s="11">
        <v>17</v>
      </c>
      <c r="H473" s="11">
        <v>1</v>
      </c>
      <c r="I473" s="11">
        <v>0</v>
      </c>
      <c r="J473" s="11">
        <v>0.5</v>
      </c>
    </row>
    <row r="474" spans="1:10" x14ac:dyDescent="0.45">
      <c r="A474" s="11">
        <v>736</v>
      </c>
      <c r="B474" s="11" t="s">
        <v>1277</v>
      </c>
      <c r="C474" s="11">
        <v>0</v>
      </c>
      <c r="D474" s="11">
        <v>1</v>
      </c>
      <c r="E474" s="11">
        <v>0</v>
      </c>
      <c r="F474" s="11">
        <v>0</v>
      </c>
      <c r="G474" s="11">
        <v>13</v>
      </c>
      <c r="H474" s="11">
        <v>1</v>
      </c>
      <c r="I474" s="11">
        <v>0</v>
      </c>
      <c r="J474" s="11">
        <v>0.5</v>
      </c>
    </row>
    <row r="475" spans="1:10" x14ac:dyDescent="0.45">
      <c r="A475" s="11">
        <v>736</v>
      </c>
      <c r="B475" s="11" t="s">
        <v>1277</v>
      </c>
      <c r="C475" s="11">
        <v>0</v>
      </c>
      <c r="D475" s="11">
        <v>1</v>
      </c>
      <c r="E475" s="11">
        <v>0</v>
      </c>
      <c r="F475" s="11">
        <v>0</v>
      </c>
      <c r="G475" s="11">
        <v>17</v>
      </c>
      <c r="H475" s="11">
        <v>1</v>
      </c>
      <c r="I475" s="11">
        <v>0</v>
      </c>
      <c r="J475" s="11">
        <v>0.5</v>
      </c>
    </row>
    <row r="476" spans="1:10" x14ac:dyDescent="0.45">
      <c r="A476" s="11">
        <v>737</v>
      </c>
      <c r="B476" s="11" t="s">
        <v>1278</v>
      </c>
      <c r="C476" s="11">
        <v>0.18</v>
      </c>
      <c r="D476" s="11">
        <v>0</v>
      </c>
      <c r="E476" s="11">
        <v>0</v>
      </c>
      <c r="F476" s="11">
        <v>0</v>
      </c>
      <c r="G476" s="11">
        <v>13</v>
      </c>
      <c r="H476" s="11">
        <v>1</v>
      </c>
      <c r="I476" s="11">
        <v>0</v>
      </c>
      <c r="J476" s="11">
        <v>0.5</v>
      </c>
    </row>
    <row r="477" spans="1:10" x14ac:dyDescent="0.45">
      <c r="A477" s="11">
        <v>737</v>
      </c>
      <c r="B477" s="11" t="s">
        <v>1278</v>
      </c>
      <c r="C477" s="11">
        <v>0.18</v>
      </c>
      <c r="D477" s="11">
        <v>0</v>
      </c>
      <c r="E477" s="11">
        <v>0</v>
      </c>
      <c r="F477" s="11">
        <v>0</v>
      </c>
      <c r="G477" s="11">
        <v>17</v>
      </c>
      <c r="H477" s="11">
        <v>1</v>
      </c>
      <c r="I477" s="11">
        <v>0</v>
      </c>
      <c r="J477" s="11">
        <v>0.5</v>
      </c>
    </row>
    <row r="478" spans="1:10" x14ac:dyDescent="0.45">
      <c r="A478" s="11">
        <v>738</v>
      </c>
      <c r="B478" s="11" t="s">
        <v>1279</v>
      </c>
      <c r="C478" s="11">
        <v>0.18</v>
      </c>
      <c r="D478" s="11">
        <v>0</v>
      </c>
      <c r="E478" s="11">
        <v>0</v>
      </c>
      <c r="F478" s="11">
        <v>-1.4570000000000001</v>
      </c>
      <c r="G478" s="11">
        <v>19</v>
      </c>
      <c r="H478" s="11">
        <v>1</v>
      </c>
      <c r="I478" s="11">
        <v>0</v>
      </c>
      <c r="J478" s="11">
        <v>1</v>
      </c>
    </row>
    <row r="479" spans="1:10" x14ac:dyDescent="0.45">
      <c r="A479" s="11">
        <v>739</v>
      </c>
      <c r="B479" s="11" t="s">
        <v>1280</v>
      </c>
      <c r="C479" s="11">
        <v>0.18</v>
      </c>
      <c r="D479" s="11">
        <v>0</v>
      </c>
      <c r="E479" s="11">
        <v>0</v>
      </c>
      <c r="F479" s="11">
        <v>-1.4570000000000001</v>
      </c>
      <c r="G479" s="11">
        <v>18</v>
      </c>
      <c r="H479" s="11">
        <v>1</v>
      </c>
      <c r="I479" s="11">
        <v>0</v>
      </c>
      <c r="J479" s="11">
        <v>1</v>
      </c>
    </row>
    <row r="480" spans="1:10" x14ac:dyDescent="0.45">
      <c r="A480" s="11">
        <v>740</v>
      </c>
      <c r="B480" s="11" t="s">
        <v>1281</v>
      </c>
      <c r="C480" s="11">
        <v>0.18</v>
      </c>
      <c r="D480" s="11">
        <v>0</v>
      </c>
      <c r="E480" s="11">
        <v>0</v>
      </c>
      <c r="F480" s="11">
        <v>-1.7069000000000001</v>
      </c>
      <c r="G480" s="11">
        <v>26</v>
      </c>
      <c r="H480" s="11">
        <v>1</v>
      </c>
      <c r="I480" s="11">
        <v>0</v>
      </c>
      <c r="J480" s="11">
        <v>1</v>
      </c>
    </row>
    <row r="481" spans="1:10" x14ac:dyDescent="0.45">
      <c r="A481" s="11">
        <v>741</v>
      </c>
      <c r="B481" s="11" t="s">
        <v>1282</v>
      </c>
      <c r="C481" s="11">
        <v>0</v>
      </c>
      <c r="D481" s="11">
        <v>1</v>
      </c>
      <c r="E481" s="11">
        <v>0</v>
      </c>
      <c r="F481" s="11">
        <v>-1.7069000000000001</v>
      </c>
      <c r="G481" s="11">
        <v>26</v>
      </c>
      <c r="H481" s="11">
        <v>1</v>
      </c>
      <c r="I481" s="11">
        <v>0</v>
      </c>
      <c r="J481" s="11">
        <v>1</v>
      </c>
    </row>
    <row r="482" spans="1:10" x14ac:dyDescent="0.45">
      <c r="A482" s="11">
        <v>742</v>
      </c>
      <c r="B482" s="11" t="s">
        <v>1283</v>
      </c>
      <c r="C482" s="11">
        <v>0</v>
      </c>
      <c r="D482" s="11">
        <v>1</v>
      </c>
      <c r="E482" s="11">
        <v>0</v>
      </c>
      <c r="F482" s="11">
        <v>-1.7069000000000001</v>
      </c>
      <c r="G482" s="11">
        <v>26</v>
      </c>
      <c r="H482" s="11">
        <v>1</v>
      </c>
      <c r="I482" s="11">
        <v>0</v>
      </c>
      <c r="J482" s="11">
        <v>1</v>
      </c>
    </row>
    <row r="483" spans="1:10" x14ac:dyDescent="0.45">
      <c r="A483" s="11">
        <v>743</v>
      </c>
      <c r="B483" s="11" t="s">
        <v>1284</v>
      </c>
      <c r="C483" s="11">
        <v>0</v>
      </c>
      <c r="D483" s="11">
        <v>1</v>
      </c>
      <c r="E483" s="11">
        <v>0</v>
      </c>
      <c r="F483" s="11">
        <v>0</v>
      </c>
      <c r="G483" s="11">
        <v>13</v>
      </c>
      <c r="H483" s="11">
        <v>1</v>
      </c>
      <c r="I483" s="11">
        <v>0</v>
      </c>
      <c r="J483" s="11">
        <v>0.5</v>
      </c>
    </row>
    <row r="484" spans="1:10" x14ac:dyDescent="0.45">
      <c r="A484" s="11">
        <v>743</v>
      </c>
      <c r="B484" s="11" t="s">
        <v>1284</v>
      </c>
      <c r="C484" s="11">
        <v>0</v>
      </c>
      <c r="D484" s="11">
        <v>1</v>
      </c>
      <c r="E484" s="11">
        <v>0</v>
      </c>
      <c r="F484" s="11">
        <v>0</v>
      </c>
      <c r="G484" s="11">
        <v>17</v>
      </c>
      <c r="H484" s="11">
        <v>1</v>
      </c>
      <c r="I484" s="11">
        <v>0</v>
      </c>
      <c r="J484" s="11">
        <v>0.5</v>
      </c>
    </row>
    <row r="485" spans="1:10" x14ac:dyDescent="0.45">
      <c r="A485" s="11">
        <v>744</v>
      </c>
      <c r="B485" s="11" t="s">
        <v>1285</v>
      </c>
      <c r="C485" s="11">
        <v>0</v>
      </c>
      <c r="D485" s="11">
        <v>1</v>
      </c>
      <c r="E485" s="11">
        <v>0</v>
      </c>
      <c r="F485" s="11">
        <v>0</v>
      </c>
      <c r="G485" s="11">
        <v>13</v>
      </c>
      <c r="H485" s="11">
        <v>1</v>
      </c>
      <c r="I485" s="11">
        <v>0</v>
      </c>
      <c r="J485" s="11">
        <v>0.5</v>
      </c>
    </row>
    <row r="486" spans="1:10" x14ac:dyDescent="0.45">
      <c r="A486" s="11">
        <v>744</v>
      </c>
      <c r="B486" s="11" t="s">
        <v>1285</v>
      </c>
      <c r="C486" s="11">
        <v>0</v>
      </c>
      <c r="D486" s="11">
        <v>1</v>
      </c>
      <c r="E486" s="11">
        <v>0</v>
      </c>
      <c r="F486" s="11">
        <v>0</v>
      </c>
      <c r="G486" s="11">
        <v>17</v>
      </c>
      <c r="H486" s="11">
        <v>1</v>
      </c>
      <c r="I486" s="11">
        <v>0</v>
      </c>
      <c r="J486" s="11">
        <v>0.5</v>
      </c>
    </row>
    <row r="487" spans="1:10" x14ac:dyDescent="0.45">
      <c r="A487" s="11">
        <v>745</v>
      </c>
      <c r="B487" s="11" t="s">
        <v>1286</v>
      </c>
      <c r="C487" s="11">
        <v>0.18</v>
      </c>
      <c r="D487" s="11">
        <v>0</v>
      </c>
      <c r="E487" s="11">
        <v>0</v>
      </c>
      <c r="F487" s="11">
        <v>0</v>
      </c>
      <c r="G487" s="11">
        <v>13</v>
      </c>
      <c r="H487" s="11">
        <v>1</v>
      </c>
      <c r="I487" s="11">
        <v>0</v>
      </c>
      <c r="J487" s="11">
        <v>0.5</v>
      </c>
    </row>
    <row r="488" spans="1:10" x14ac:dyDescent="0.45">
      <c r="A488" s="11">
        <v>745</v>
      </c>
      <c r="B488" s="11" t="s">
        <v>1286</v>
      </c>
      <c r="C488" s="11">
        <v>0.18</v>
      </c>
      <c r="D488" s="11">
        <v>0</v>
      </c>
      <c r="E488" s="11">
        <v>0</v>
      </c>
      <c r="F488" s="11">
        <v>0</v>
      </c>
      <c r="G488" s="11">
        <v>17</v>
      </c>
      <c r="H488" s="11">
        <v>1</v>
      </c>
      <c r="I488" s="11">
        <v>0</v>
      </c>
      <c r="J488" s="11">
        <v>0.5</v>
      </c>
    </row>
    <row r="489" spans="1:10" x14ac:dyDescent="0.45">
      <c r="A489" s="11">
        <v>746</v>
      </c>
      <c r="B489" s="11" t="s">
        <v>1287</v>
      </c>
      <c r="C489" s="11">
        <v>0.18</v>
      </c>
      <c r="D489" s="11">
        <v>0</v>
      </c>
      <c r="E489" s="11">
        <v>0</v>
      </c>
      <c r="F489" s="11">
        <v>-1.4570000000000001</v>
      </c>
      <c r="G489" s="11">
        <v>19</v>
      </c>
      <c r="H489" s="11">
        <v>1</v>
      </c>
      <c r="I489" s="11">
        <v>0</v>
      </c>
      <c r="J489" s="11">
        <v>1</v>
      </c>
    </row>
    <row r="490" spans="1:10" x14ac:dyDescent="0.45">
      <c r="A490" s="11">
        <v>747</v>
      </c>
      <c r="B490" s="11" t="s">
        <v>1288</v>
      </c>
      <c r="C490" s="11">
        <v>0.18</v>
      </c>
      <c r="D490" s="11">
        <v>0</v>
      </c>
      <c r="E490" s="11">
        <v>0</v>
      </c>
      <c r="F490" s="11">
        <v>-1.4570000000000001</v>
      </c>
      <c r="G490" s="11">
        <v>18</v>
      </c>
      <c r="H490" s="11">
        <v>1</v>
      </c>
      <c r="I490" s="11">
        <v>0</v>
      </c>
      <c r="J490" s="11">
        <v>1</v>
      </c>
    </row>
    <row r="491" spans="1:10" x14ac:dyDescent="0.45">
      <c r="A491" s="11">
        <v>748</v>
      </c>
      <c r="B491" s="11" t="s">
        <v>1289</v>
      </c>
      <c r="C491" s="11">
        <v>0.18</v>
      </c>
      <c r="D491" s="11">
        <v>0</v>
      </c>
      <c r="E491" s="11">
        <v>0</v>
      </c>
      <c r="F491" s="11">
        <v>-1.7069000000000001</v>
      </c>
      <c r="G491" s="11">
        <v>26</v>
      </c>
      <c r="H491" s="11">
        <v>1</v>
      </c>
      <c r="I491" s="11">
        <v>0</v>
      </c>
      <c r="J491" s="11">
        <v>1</v>
      </c>
    </row>
    <row r="492" spans="1:10" x14ac:dyDescent="0.45">
      <c r="A492" s="11">
        <v>761</v>
      </c>
      <c r="B492" s="11" t="s">
        <v>1290</v>
      </c>
      <c r="C492" s="11">
        <v>0</v>
      </c>
      <c r="D492" s="11">
        <v>1</v>
      </c>
      <c r="E492" s="11">
        <v>0</v>
      </c>
      <c r="F492" s="11">
        <v>0</v>
      </c>
      <c r="G492" s="11">
        <v>27</v>
      </c>
      <c r="H492" s="11">
        <v>1</v>
      </c>
      <c r="I492" s="11">
        <v>0</v>
      </c>
      <c r="J492" s="11">
        <v>1</v>
      </c>
    </row>
    <row r="493" spans="1:10" x14ac:dyDescent="0.45">
      <c r="A493" s="11">
        <v>762</v>
      </c>
      <c r="B493" s="11" t="s">
        <v>1291</v>
      </c>
      <c r="C493" s="11">
        <v>0</v>
      </c>
      <c r="D493" s="11">
        <v>1</v>
      </c>
      <c r="E493" s="11">
        <v>0</v>
      </c>
      <c r="F493" s="11">
        <v>0</v>
      </c>
      <c r="G493" s="11">
        <v>27</v>
      </c>
      <c r="H493" s="11">
        <v>1</v>
      </c>
      <c r="I493" s="11">
        <v>0</v>
      </c>
      <c r="J493" s="11">
        <v>1</v>
      </c>
    </row>
    <row r="494" spans="1:10" x14ac:dyDescent="0.45">
      <c r="A494" s="11">
        <v>763</v>
      </c>
      <c r="B494" s="11" t="s">
        <v>1292</v>
      </c>
      <c r="C494" s="11">
        <v>0</v>
      </c>
      <c r="D494" s="11">
        <v>1</v>
      </c>
      <c r="E494" s="11">
        <v>0</v>
      </c>
      <c r="F494" s="11">
        <v>0</v>
      </c>
      <c r="G494" s="11">
        <v>27</v>
      </c>
      <c r="H494" s="11">
        <v>1</v>
      </c>
      <c r="I494" s="11">
        <v>0</v>
      </c>
      <c r="J494" s="11">
        <v>1</v>
      </c>
    </row>
    <row r="495" spans="1:10" x14ac:dyDescent="0.45">
      <c r="A495" s="11">
        <v>764</v>
      </c>
      <c r="B495" s="11" t="s">
        <v>1293</v>
      </c>
      <c r="C495" s="11">
        <v>0</v>
      </c>
      <c r="D495" s="11">
        <v>1</v>
      </c>
      <c r="E495" s="11">
        <v>0</v>
      </c>
      <c r="F495" s="11">
        <v>0</v>
      </c>
      <c r="G495" s="11">
        <v>27</v>
      </c>
      <c r="H495" s="11">
        <v>1</v>
      </c>
      <c r="I495" s="11">
        <v>0</v>
      </c>
      <c r="J495" s="11">
        <v>1</v>
      </c>
    </row>
    <row r="496" spans="1:10" x14ac:dyDescent="0.45">
      <c r="A496" s="11">
        <v>765</v>
      </c>
      <c r="B496" s="11" t="s">
        <v>1294</v>
      </c>
      <c r="C496" s="11">
        <v>0</v>
      </c>
      <c r="D496" s="11">
        <v>1</v>
      </c>
      <c r="E496" s="11">
        <v>0</v>
      </c>
      <c r="F496" s="11">
        <v>0</v>
      </c>
      <c r="G496" s="11">
        <v>27</v>
      </c>
      <c r="H496" s="11">
        <v>1</v>
      </c>
      <c r="I496" s="11">
        <v>0</v>
      </c>
      <c r="J496" s="11">
        <v>1</v>
      </c>
    </row>
    <row r="497" spans="1:10" x14ac:dyDescent="0.45">
      <c r="A497" s="11">
        <v>766</v>
      </c>
      <c r="B497" s="11" t="s">
        <v>1295</v>
      </c>
      <c r="C497" s="11">
        <v>0</v>
      </c>
      <c r="D497" s="11">
        <v>1</v>
      </c>
      <c r="E497" s="11">
        <v>1</v>
      </c>
      <c r="F497" s="11">
        <v>-1.6700999999999999</v>
      </c>
      <c r="G497" s="11">
        <v>27</v>
      </c>
      <c r="H497" s="11">
        <v>1</v>
      </c>
      <c r="I497" s="11">
        <v>0.01</v>
      </c>
      <c r="J497" s="11">
        <v>1</v>
      </c>
    </row>
    <row r="498" spans="1:10" x14ac:dyDescent="0.45">
      <c r="A498" s="11">
        <v>767</v>
      </c>
      <c r="B498" s="11" t="s">
        <v>1296</v>
      </c>
      <c r="C498" s="11">
        <v>0</v>
      </c>
      <c r="D498" s="11">
        <v>1</v>
      </c>
      <c r="E498" s="11">
        <v>1</v>
      </c>
      <c r="F498" s="11">
        <v>-1.6700999999999999</v>
      </c>
      <c r="G498" s="11">
        <v>27</v>
      </c>
      <c r="H498" s="11">
        <v>1</v>
      </c>
      <c r="I498" s="11">
        <v>0.01</v>
      </c>
      <c r="J498" s="11">
        <v>1</v>
      </c>
    </row>
    <row r="499" spans="1:10" x14ac:dyDescent="0.45">
      <c r="A499" s="11">
        <v>768</v>
      </c>
      <c r="B499" s="11" t="s">
        <v>1297</v>
      </c>
      <c r="C499" s="11">
        <v>0</v>
      </c>
      <c r="D499" s="11">
        <v>1</v>
      </c>
      <c r="E499" s="11">
        <v>0</v>
      </c>
      <c r="F499" s="11">
        <v>-1.6700999999999999</v>
      </c>
      <c r="G499" s="11">
        <v>27</v>
      </c>
      <c r="H499" s="11">
        <v>1</v>
      </c>
      <c r="I499" s="11">
        <v>0</v>
      </c>
      <c r="J499" s="11">
        <v>1</v>
      </c>
    </row>
    <row r="500" spans="1:10" x14ac:dyDescent="0.45">
      <c r="A500" s="11">
        <v>769</v>
      </c>
      <c r="B500" s="11" t="s">
        <v>1298</v>
      </c>
      <c r="C500" s="11">
        <v>0</v>
      </c>
      <c r="D500" s="11">
        <v>1</v>
      </c>
      <c r="E500" s="11">
        <v>0</v>
      </c>
      <c r="F500" s="11">
        <v>-1.6700999999999999</v>
      </c>
      <c r="G500" s="11">
        <v>27</v>
      </c>
      <c r="H500" s="11">
        <v>1</v>
      </c>
      <c r="I500" s="11">
        <v>0</v>
      </c>
      <c r="J500" s="11">
        <v>1</v>
      </c>
    </row>
    <row r="501" spans="1:10" x14ac:dyDescent="0.45">
      <c r="A501" s="11">
        <v>770</v>
      </c>
      <c r="B501" s="11" t="s">
        <v>1299</v>
      </c>
      <c r="C501" s="11">
        <v>0</v>
      </c>
      <c r="D501" s="11">
        <v>1</v>
      </c>
      <c r="E501" s="11">
        <v>0</v>
      </c>
      <c r="F501" s="11">
        <v>0</v>
      </c>
      <c r="G501" s="11">
        <v>27</v>
      </c>
      <c r="H501" s="11">
        <v>1</v>
      </c>
      <c r="I501" s="11">
        <v>0</v>
      </c>
      <c r="J501" s="11">
        <v>1</v>
      </c>
    </row>
    <row r="502" spans="1:10" x14ac:dyDescent="0.45">
      <c r="A502" s="11">
        <v>771</v>
      </c>
      <c r="B502" s="11" t="s">
        <v>1300</v>
      </c>
      <c r="C502" s="11">
        <v>0</v>
      </c>
      <c r="D502" s="11">
        <v>1</v>
      </c>
      <c r="E502" s="11">
        <v>0</v>
      </c>
      <c r="F502" s="11">
        <v>0</v>
      </c>
      <c r="G502" s="11">
        <v>27</v>
      </c>
      <c r="H502" s="11">
        <v>1</v>
      </c>
      <c r="I502" s="11">
        <v>0</v>
      </c>
      <c r="J502" s="11">
        <v>1</v>
      </c>
    </row>
    <row r="503" spans="1:10" x14ac:dyDescent="0.45">
      <c r="A503" s="11">
        <v>772</v>
      </c>
      <c r="B503" s="11" t="s">
        <v>1301</v>
      </c>
      <c r="C503" s="11">
        <v>0</v>
      </c>
      <c r="D503" s="11">
        <v>1</v>
      </c>
      <c r="E503" s="11">
        <v>0</v>
      </c>
      <c r="F503" s="11">
        <v>0</v>
      </c>
      <c r="G503" s="11">
        <v>27</v>
      </c>
      <c r="H503" s="11">
        <v>1</v>
      </c>
      <c r="I503" s="11">
        <v>0</v>
      </c>
      <c r="J503" s="11">
        <v>1</v>
      </c>
    </row>
    <row r="504" spans="1:10" x14ac:dyDescent="0.45">
      <c r="A504" s="11">
        <v>773</v>
      </c>
      <c r="B504" s="11" t="s">
        <v>1302</v>
      </c>
      <c r="C504" s="11">
        <v>0</v>
      </c>
      <c r="D504" s="11">
        <v>1</v>
      </c>
      <c r="E504" s="11">
        <v>0</v>
      </c>
      <c r="F504" s="11">
        <v>0</v>
      </c>
      <c r="G504" s="11">
        <v>18</v>
      </c>
      <c r="H504" s="11">
        <v>1</v>
      </c>
      <c r="I504" s="11">
        <v>0</v>
      </c>
      <c r="J504" s="11">
        <v>0.5</v>
      </c>
    </row>
    <row r="505" spans="1:10" x14ac:dyDescent="0.45">
      <c r="A505" s="11">
        <v>773</v>
      </c>
      <c r="B505" s="11" t="s">
        <v>1302</v>
      </c>
      <c r="C505" s="11">
        <v>0</v>
      </c>
      <c r="D505" s="11">
        <v>1</v>
      </c>
      <c r="E505" s="11">
        <v>0</v>
      </c>
      <c r="F505" s="11">
        <v>0</v>
      </c>
      <c r="G505" s="11">
        <v>27</v>
      </c>
      <c r="H505" s="11">
        <v>1</v>
      </c>
      <c r="I505" s="11">
        <v>0</v>
      </c>
      <c r="J505" s="11">
        <v>0.5</v>
      </c>
    </row>
    <row r="506" spans="1:10" x14ac:dyDescent="0.45">
      <c r="A506" s="11">
        <v>774</v>
      </c>
      <c r="B506" s="11" t="s">
        <v>1303</v>
      </c>
      <c r="C506" s="11">
        <v>0</v>
      </c>
      <c r="D506" s="11">
        <v>1</v>
      </c>
      <c r="E506" s="11">
        <v>0</v>
      </c>
      <c r="F506" s="11">
        <v>0</v>
      </c>
      <c r="G506" s="11">
        <v>27</v>
      </c>
      <c r="H506" s="11">
        <v>1</v>
      </c>
      <c r="I506" s="11">
        <v>0</v>
      </c>
      <c r="J506" s="11">
        <v>1</v>
      </c>
    </row>
    <row r="507" spans="1:10" x14ac:dyDescent="0.45">
      <c r="A507" s="11">
        <v>775</v>
      </c>
      <c r="B507" s="11" t="s">
        <v>1304</v>
      </c>
      <c r="C507" s="11">
        <v>0</v>
      </c>
      <c r="D507" s="11">
        <v>1</v>
      </c>
      <c r="E507" s="11">
        <v>0</v>
      </c>
      <c r="F507" s="11">
        <v>0</v>
      </c>
      <c r="G507" s="11">
        <v>27</v>
      </c>
      <c r="H507" s="11">
        <v>1</v>
      </c>
      <c r="I507" s="11">
        <v>0</v>
      </c>
      <c r="J507" s="11">
        <v>1</v>
      </c>
    </row>
    <row r="508" spans="1:10" x14ac:dyDescent="0.45">
      <c r="A508" s="11">
        <v>776</v>
      </c>
      <c r="B508" s="11" t="s">
        <v>1305</v>
      </c>
      <c r="C508" s="11">
        <v>0</v>
      </c>
      <c r="D508" s="11">
        <v>1</v>
      </c>
      <c r="E508" s="11">
        <v>0</v>
      </c>
      <c r="F508" s="11">
        <v>0</v>
      </c>
      <c r="G508" s="11">
        <v>27</v>
      </c>
      <c r="H508" s="11">
        <v>1</v>
      </c>
      <c r="I508" s="11">
        <v>0</v>
      </c>
      <c r="J508" s="11">
        <v>1</v>
      </c>
    </row>
    <row r="509" spans="1:10" x14ac:dyDescent="0.45">
      <c r="A509" s="11">
        <v>777</v>
      </c>
      <c r="B509" s="11" t="s">
        <v>1306</v>
      </c>
      <c r="C509" s="11">
        <v>0</v>
      </c>
      <c r="D509" s="11">
        <v>1</v>
      </c>
      <c r="E509" s="11">
        <v>0</v>
      </c>
      <c r="F509" s="11">
        <v>0</v>
      </c>
      <c r="G509" s="11">
        <v>27</v>
      </c>
      <c r="H509" s="11">
        <v>1</v>
      </c>
      <c r="I509" s="11">
        <v>0</v>
      </c>
      <c r="J509" s="11">
        <v>1</v>
      </c>
    </row>
    <row r="510" spans="1:10" x14ac:dyDescent="0.45">
      <c r="A510" s="11">
        <v>801</v>
      </c>
      <c r="B510" s="11" t="s">
        <v>1307</v>
      </c>
      <c r="C510" s="11">
        <v>0.18</v>
      </c>
      <c r="D510" s="11">
        <v>0</v>
      </c>
      <c r="E510" s="11">
        <v>1</v>
      </c>
      <c r="F510" s="11">
        <v>0</v>
      </c>
      <c r="G510" s="11">
        <v>13</v>
      </c>
      <c r="H510" s="11">
        <v>1</v>
      </c>
      <c r="I510" s="11">
        <v>2.4240000000000001E-2</v>
      </c>
      <c r="J510" s="11">
        <v>0.5</v>
      </c>
    </row>
    <row r="511" spans="1:10" x14ac:dyDescent="0.45">
      <c r="A511" s="11">
        <v>801</v>
      </c>
      <c r="B511" s="11" t="s">
        <v>1307</v>
      </c>
      <c r="C511" s="11">
        <v>0.18</v>
      </c>
      <c r="D511" s="11">
        <v>0</v>
      </c>
      <c r="E511" s="11">
        <v>1</v>
      </c>
      <c r="F511" s="11">
        <v>0</v>
      </c>
      <c r="G511" s="11">
        <v>17</v>
      </c>
      <c r="H511" s="11">
        <v>1</v>
      </c>
      <c r="I511" s="11">
        <v>2.4240000000000001E-2</v>
      </c>
      <c r="J511" s="11">
        <v>0.5</v>
      </c>
    </row>
    <row r="512" spans="1:10" x14ac:dyDescent="0.45">
      <c r="A512" s="11">
        <v>802</v>
      </c>
      <c r="B512" s="11" t="s">
        <v>1308</v>
      </c>
      <c r="C512" s="11">
        <v>0.18</v>
      </c>
      <c r="D512" s="11">
        <v>0</v>
      </c>
      <c r="E512" s="11">
        <v>1</v>
      </c>
      <c r="F512" s="11">
        <v>0</v>
      </c>
      <c r="G512" s="11">
        <v>13</v>
      </c>
      <c r="H512" s="11">
        <v>1</v>
      </c>
      <c r="I512" s="11">
        <v>2.4240000000000001E-2</v>
      </c>
      <c r="J512" s="11">
        <v>0.5</v>
      </c>
    </row>
    <row r="513" spans="1:10" x14ac:dyDescent="0.45">
      <c r="A513" s="11">
        <v>802</v>
      </c>
      <c r="B513" s="11" t="s">
        <v>1308</v>
      </c>
      <c r="C513" s="11">
        <v>0.18</v>
      </c>
      <c r="D513" s="11">
        <v>0</v>
      </c>
      <c r="E513" s="11">
        <v>1</v>
      </c>
      <c r="F513" s="11">
        <v>0</v>
      </c>
      <c r="G513" s="11">
        <v>17</v>
      </c>
      <c r="H513" s="11">
        <v>1</v>
      </c>
      <c r="I513" s="11">
        <v>2.4240000000000001E-2</v>
      </c>
      <c r="J513" s="11">
        <v>0.5</v>
      </c>
    </row>
    <row r="514" spans="1:10" x14ac:dyDescent="0.45">
      <c r="A514" s="11">
        <v>803</v>
      </c>
      <c r="B514" s="11" t="s">
        <v>1309</v>
      </c>
      <c r="C514" s="11">
        <v>0.18</v>
      </c>
      <c r="D514" s="11">
        <v>0</v>
      </c>
      <c r="E514" s="11">
        <v>1</v>
      </c>
      <c r="F514" s="11">
        <v>0</v>
      </c>
      <c r="G514" s="11">
        <v>13</v>
      </c>
      <c r="H514" s="11">
        <v>1</v>
      </c>
      <c r="I514" s="11">
        <v>2.4240000000000001E-2</v>
      </c>
      <c r="J514" s="11">
        <v>0.5</v>
      </c>
    </row>
    <row r="515" spans="1:10" x14ac:dyDescent="0.45">
      <c r="A515" s="11">
        <v>803</v>
      </c>
      <c r="B515" s="11" t="s">
        <v>1309</v>
      </c>
      <c r="C515" s="11">
        <v>0.18</v>
      </c>
      <c r="D515" s="11">
        <v>0</v>
      </c>
      <c r="E515" s="11">
        <v>1</v>
      </c>
      <c r="F515" s="11">
        <v>0</v>
      </c>
      <c r="G515" s="11">
        <v>17</v>
      </c>
      <c r="H515" s="11">
        <v>1</v>
      </c>
      <c r="I515" s="11">
        <v>2.4240000000000001E-2</v>
      </c>
      <c r="J515" s="11">
        <v>0.5</v>
      </c>
    </row>
    <row r="516" spans="1:10" x14ac:dyDescent="0.45">
      <c r="A516" s="11">
        <v>804</v>
      </c>
      <c r="B516" s="11" t="s">
        <v>1310</v>
      </c>
      <c r="C516" s="11">
        <v>0.18</v>
      </c>
      <c r="D516" s="11">
        <v>0</v>
      </c>
      <c r="E516" s="11">
        <v>0</v>
      </c>
      <c r="F516" s="11">
        <v>0</v>
      </c>
      <c r="G516" s="11">
        <v>13</v>
      </c>
      <c r="H516" s="11">
        <v>1</v>
      </c>
      <c r="I516" s="11">
        <v>0</v>
      </c>
      <c r="J516" s="11">
        <v>0.5</v>
      </c>
    </row>
    <row r="517" spans="1:10" x14ac:dyDescent="0.45">
      <c r="A517" s="11">
        <v>804</v>
      </c>
      <c r="B517" s="11" t="s">
        <v>1310</v>
      </c>
      <c r="C517" s="11">
        <v>0.18</v>
      </c>
      <c r="D517" s="11">
        <v>0</v>
      </c>
      <c r="E517" s="11">
        <v>0</v>
      </c>
      <c r="F517" s="11">
        <v>0</v>
      </c>
      <c r="G517" s="11">
        <v>17</v>
      </c>
      <c r="H517" s="11">
        <v>1</v>
      </c>
      <c r="I517" s="11">
        <v>0</v>
      </c>
      <c r="J517" s="11">
        <v>0.5</v>
      </c>
    </row>
    <row r="518" spans="1:10" x14ac:dyDescent="0.45">
      <c r="A518" s="11">
        <v>805</v>
      </c>
      <c r="B518" s="11" t="s">
        <v>1311</v>
      </c>
      <c r="C518" s="11">
        <v>0.18</v>
      </c>
      <c r="D518" s="11">
        <v>0</v>
      </c>
      <c r="E518" s="11">
        <v>1</v>
      </c>
      <c r="F518" s="11">
        <v>0</v>
      </c>
      <c r="G518" s="11">
        <v>13</v>
      </c>
      <c r="H518" s="11">
        <v>1</v>
      </c>
      <c r="I518" s="11">
        <v>2.4240000000000001E-2</v>
      </c>
      <c r="J518" s="11">
        <v>0.5</v>
      </c>
    </row>
    <row r="519" spans="1:10" x14ac:dyDescent="0.45">
      <c r="A519" s="11">
        <v>805</v>
      </c>
      <c r="B519" s="11" t="s">
        <v>1311</v>
      </c>
      <c r="C519" s="11">
        <v>0.18</v>
      </c>
      <c r="D519" s="11">
        <v>0</v>
      </c>
      <c r="E519" s="11">
        <v>1</v>
      </c>
      <c r="F519" s="11">
        <v>0</v>
      </c>
      <c r="G519" s="11">
        <v>17</v>
      </c>
      <c r="H519" s="11">
        <v>1</v>
      </c>
      <c r="I519" s="11">
        <v>2.4240000000000001E-2</v>
      </c>
      <c r="J519" s="11">
        <v>0.5</v>
      </c>
    </row>
    <row r="520" spans="1:10" x14ac:dyDescent="0.45">
      <c r="A520" s="11">
        <v>806</v>
      </c>
      <c r="B520" s="11" t="s">
        <v>1312</v>
      </c>
      <c r="C520" s="11">
        <v>0.18</v>
      </c>
      <c r="D520" s="11">
        <v>0</v>
      </c>
      <c r="E520" s="11">
        <v>0</v>
      </c>
      <c r="F520" s="11">
        <v>0</v>
      </c>
      <c r="G520" s="11">
        <v>13</v>
      </c>
      <c r="H520" s="11">
        <v>1</v>
      </c>
      <c r="I520" s="11">
        <v>0</v>
      </c>
      <c r="J520" s="11">
        <v>0.5</v>
      </c>
    </row>
    <row r="521" spans="1:10" x14ac:dyDescent="0.45">
      <c r="A521" s="11">
        <v>806</v>
      </c>
      <c r="B521" s="11" t="s">
        <v>1312</v>
      </c>
      <c r="C521" s="11">
        <v>0.18</v>
      </c>
      <c r="D521" s="11">
        <v>0</v>
      </c>
      <c r="E521" s="11">
        <v>0</v>
      </c>
      <c r="F521" s="11">
        <v>0</v>
      </c>
      <c r="G521" s="11">
        <v>17</v>
      </c>
      <c r="H521" s="11">
        <v>1</v>
      </c>
      <c r="I521" s="11">
        <v>0</v>
      </c>
      <c r="J521" s="11">
        <v>0.5</v>
      </c>
    </row>
    <row r="522" spans="1:10" x14ac:dyDescent="0.45">
      <c r="A522" s="11">
        <v>807</v>
      </c>
      <c r="B522" s="11" t="s">
        <v>1313</v>
      </c>
      <c r="C522" s="11">
        <v>0.18</v>
      </c>
      <c r="D522" s="11">
        <v>0</v>
      </c>
      <c r="E522" s="11">
        <v>1</v>
      </c>
      <c r="F522" s="11">
        <v>0</v>
      </c>
      <c r="G522" s="11">
        <v>13</v>
      </c>
      <c r="H522" s="11">
        <v>1</v>
      </c>
      <c r="I522" s="11">
        <v>0.16650000000000001</v>
      </c>
      <c r="J522" s="11">
        <v>0.5</v>
      </c>
    </row>
    <row r="523" spans="1:10" x14ac:dyDescent="0.45">
      <c r="A523" s="11">
        <v>807</v>
      </c>
      <c r="B523" s="11" t="s">
        <v>1313</v>
      </c>
      <c r="C523" s="11">
        <v>0.18</v>
      </c>
      <c r="D523" s="11">
        <v>0</v>
      </c>
      <c r="E523" s="11">
        <v>1</v>
      </c>
      <c r="F523" s="11">
        <v>0</v>
      </c>
      <c r="G523" s="11">
        <v>17</v>
      </c>
      <c r="H523" s="11">
        <v>1</v>
      </c>
      <c r="I523" s="11">
        <v>0.16650000000000001</v>
      </c>
      <c r="J523" s="11">
        <v>0.5</v>
      </c>
    </row>
    <row r="524" spans="1:10" x14ac:dyDescent="0.45">
      <c r="A524" s="11">
        <v>808</v>
      </c>
      <c r="B524" s="11" t="s">
        <v>1314</v>
      </c>
      <c r="C524" s="11">
        <v>0.18</v>
      </c>
      <c r="D524" s="11">
        <v>0</v>
      </c>
      <c r="E524" s="11">
        <v>0</v>
      </c>
      <c r="F524" s="11">
        <v>0</v>
      </c>
      <c r="G524" s="11">
        <v>13</v>
      </c>
      <c r="H524" s="11">
        <v>1</v>
      </c>
      <c r="I524" s="11">
        <v>0</v>
      </c>
      <c r="J524" s="11">
        <v>0.5</v>
      </c>
    </row>
    <row r="525" spans="1:10" x14ac:dyDescent="0.45">
      <c r="A525" s="11">
        <v>808</v>
      </c>
      <c r="B525" s="11" t="s">
        <v>1314</v>
      </c>
      <c r="C525" s="11">
        <v>0.18</v>
      </c>
      <c r="D525" s="11">
        <v>0</v>
      </c>
      <c r="E525" s="11">
        <v>0</v>
      </c>
      <c r="F525" s="11">
        <v>0</v>
      </c>
      <c r="G525" s="11">
        <v>17</v>
      </c>
      <c r="H525" s="11">
        <v>1</v>
      </c>
      <c r="I525" s="11">
        <v>0</v>
      </c>
      <c r="J525" s="11">
        <v>0.5</v>
      </c>
    </row>
    <row r="526" spans="1:10" x14ac:dyDescent="0.45">
      <c r="A526" s="11">
        <v>809</v>
      </c>
      <c r="B526" s="11" t="s">
        <v>1315</v>
      </c>
      <c r="C526" s="11">
        <v>0.18</v>
      </c>
      <c r="D526" s="11">
        <v>0</v>
      </c>
      <c r="E526" s="11">
        <v>1</v>
      </c>
      <c r="F526" s="11">
        <v>0</v>
      </c>
      <c r="G526" s="11">
        <v>13</v>
      </c>
      <c r="H526" s="11">
        <v>1</v>
      </c>
      <c r="I526" s="11">
        <v>0.16650000000000001</v>
      </c>
      <c r="J526" s="11">
        <v>0.5</v>
      </c>
    </row>
    <row r="527" spans="1:10" x14ac:dyDescent="0.45">
      <c r="A527" s="11">
        <v>809</v>
      </c>
      <c r="B527" s="11" t="s">
        <v>1315</v>
      </c>
      <c r="C527" s="11">
        <v>0.18</v>
      </c>
      <c r="D527" s="11">
        <v>0</v>
      </c>
      <c r="E527" s="11">
        <v>1</v>
      </c>
      <c r="F527" s="11">
        <v>0</v>
      </c>
      <c r="G527" s="11">
        <v>17</v>
      </c>
      <c r="H527" s="11">
        <v>1</v>
      </c>
      <c r="I527" s="11">
        <v>0.16650000000000001</v>
      </c>
      <c r="J527" s="11">
        <v>0.5</v>
      </c>
    </row>
    <row r="528" spans="1:10" x14ac:dyDescent="0.45">
      <c r="A528" s="11">
        <v>810</v>
      </c>
      <c r="B528" s="11" t="s">
        <v>1316</v>
      </c>
      <c r="C528" s="11">
        <v>0</v>
      </c>
      <c r="D528" s="11">
        <v>1</v>
      </c>
      <c r="E528" s="11">
        <v>0</v>
      </c>
      <c r="F528" s="11">
        <v>-1.3504</v>
      </c>
      <c r="G528" s="11">
        <v>9</v>
      </c>
      <c r="H528" s="11">
        <v>1</v>
      </c>
      <c r="I528" s="11">
        <v>0</v>
      </c>
      <c r="J528" s="11">
        <v>1</v>
      </c>
    </row>
    <row r="529" spans="1:10" x14ac:dyDescent="0.45">
      <c r="A529" s="11">
        <v>811</v>
      </c>
      <c r="B529" s="11" t="s">
        <v>1317</v>
      </c>
      <c r="C529" s="11">
        <v>0.18</v>
      </c>
      <c r="D529" s="11">
        <v>0</v>
      </c>
      <c r="E529" s="11">
        <v>1</v>
      </c>
      <c r="F529" s="11">
        <v>0</v>
      </c>
      <c r="G529" s="11">
        <v>13</v>
      </c>
      <c r="H529" s="11">
        <v>1</v>
      </c>
      <c r="I529" s="11">
        <v>0.16650000000000001</v>
      </c>
      <c r="J529" s="11">
        <v>0.5</v>
      </c>
    </row>
    <row r="530" spans="1:10" x14ac:dyDescent="0.45">
      <c r="A530" s="11">
        <v>811</v>
      </c>
      <c r="B530" s="11" t="s">
        <v>1317</v>
      </c>
      <c r="C530" s="11">
        <v>0.18</v>
      </c>
      <c r="D530" s="11">
        <v>0</v>
      </c>
      <c r="E530" s="11">
        <v>1</v>
      </c>
      <c r="F530" s="11">
        <v>0</v>
      </c>
      <c r="G530" s="11">
        <v>17</v>
      </c>
      <c r="H530" s="11">
        <v>1</v>
      </c>
      <c r="I530" s="11">
        <v>0.16650000000000001</v>
      </c>
      <c r="J530" s="11">
        <v>0.5</v>
      </c>
    </row>
    <row r="531" spans="1:10" x14ac:dyDescent="0.45">
      <c r="A531" s="11">
        <v>812</v>
      </c>
      <c r="B531" s="11" t="s">
        <v>1318</v>
      </c>
      <c r="C531" s="11">
        <v>0.18</v>
      </c>
      <c r="D531" s="11">
        <v>0</v>
      </c>
      <c r="E531" s="11">
        <v>1</v>
      </c>
      <c r="F531" s="11">
        <v>0</v>
      </c>
      <c r="G531" s="11">
        <v>13</v>
      </c>
      <c r="H531" s="11">
        <v>1</v>
      </c>
      <c r="I531" s="11">
        <v>0.16650000000000001</v>
      </c>
      <c r="J531" s="11">
        <v>0.5</v>
      </c>
    </row>
    <row r="532" spans="1:10" x14ac:dyDescent="0.45">
      <c r="A532" s="11">
        <v>812</v>
      </c>
      <c r="B532" s="11" t="s">
        <v>1318</v>
      </c>
      <c r="C532" s="11">
        <v>0.18</v>
      </c>
      <c r="D532" s="11">
        <v>0</v>
      </c>
      <c r="E532" s="11">
        <v>1</v>
      </c>
      <c r="F532" s="11">
        <v>0</v>
      </c>
      <c r="G532" s="11">
        <v>17</v>
      </c>
      <c r="H532" s="11">
        <v>1</v>
      </c>
      <c r="I532" s="11">
        <v>0.16650000000000001</v>
      </c>
      <c r="J532" s="11">
        <v>0.5</v>
      </c>
    </row>
    <row r="533" spans="1:10" x14ac:dyDescent="0.45">
      <c r="A533" s="11">
        <v>813</v>
      </c>
      <c r="B533" s="11" t="s">
        <v>1319</v>
      </c>
      <c r="C533" s="11">
        <v>0.18</v>
      </c>
      <c r="D533" s="11">
        <v>0</v>
      </c>
      <c r="E533" s="11">
        <v>1</v>
      </c>
      <c r="F533" s="11">
        <v>0</v>
      </c>
      <c r="G533" s="11">
        <v>13</v>
      </c>
      <c r="H533" s="11">
        <v>1</v>
      </c>
      <c r="I533" s="11">
        <v>0.16650000000000001</v>
      </c>
      <c r="J533" s="11">
        <v>0.5</v>
      </c>
    </row>
    <row r="534" spans="1:10" x14ac:dyDescent="0.45">
      <c r="A534" s="11">
        <v>813</v>
      </c>
      <c r="B534" s="11" t="s">
        <v>1319</v>
      </c>
      <c r="C534" s="11">
        <v>0.18</v>
      </c>
      <c r="D534" s="11">
        <v>0</v>
      </c>
      <c r="E534" s="11">
        <v>1</v>
      </c>
      <c r="F534" s="11">
        <v>0</v>
      </c>
      <c r="G534" s="11">
        <v>17</v>
      </c>
      <c r="H534" s="11">
        <v>1</v>
      </c>
      <c r="I534" s="11">
        <v>0.16650000000000001</v>
      </c>
      <c r="J534" s="11">
        <v>0.5</v>
      </c>
    </row>
    <row r="535" spans="1:10" x14ac:dyDescent="0.45">
      <c r="A535" s="11">
        <v>814</v>
      </c>
      <c r="B535" s="11" t="s">
        <v>1320</v>
      </c>
      <c r="C535" s="11">
        <v>0.18</v>
      </c>
      <c r="D535" s="11">
        <v>0</v>
      </c>
      <c r="E535" s="11">
        <v>1</v>
      </c>
      <c r="F535" s="11">
        <v>0</v>
      </c>
      <c r="G535" s="11">
        <v>13</v>
      </c>
      <c r="H535" s="11">
        <v>1</v>
      </c>
      <c r="I535" s="11">
        <v>0.16650000000000001</v>
      </c>
      <c r="J535" s="11">
        <v>0.5</v>
      </c>
    </row>
    <row r="536" spans="1:10" x14ac:dyDescent="0.45">
      <c r="A536" s="11">
        <v>814</v>
      </c>
      <c r="B536" s="11" t="s">
        <v>1320</v>
      </c>
      <c r="C536" s="11">
        <v>0.18</v>
      </c>
      <c r="D536" s="11">
        <v>0</v>
      </c>
      <c r="E536" s="11">
        <v>1</v>
      </c>
      <c r="F536" s="11">
        <v>0</v>
      </c>
      <c r="G536" s="11">
        <v>17</v>
      </c>
      <c r="H536" s="11">
        <v>1</v>
      </c>
      <c r="I536" s="11">
        <v>0.16650000000000001</v>
      </c>
      <c r="J536" s="11">
        <v>0.5</v>
      </c>
    </row>
    <row r="537" spans="1:10" x14ac:dyDescent="0.45">
      <c r="A537" s="11">
        <v>815</v>
      </c>
      <c r="B537" s="11" t="s">
        <v>1321</v>
      </c>
      <c r="C537" s="11">
        <v>0.18</v>
      </c>
      <c r="D537" s="11">
        <v>0</v>
      </c>
      <c r="E537" s="11">
        <v>1</v>
      </c>
      <c r="F537" s="11">
        <v>0</v>
      </c>
      <c r="G537" s="11">
        <v>13</v>
      </c>
      <c r="H537" s="11">
        <v>1</v>
      </c>
      <c r="I537" s="11">
        <v>0.16650000000000001</v>
      </c>
      <c r="J537" s="11">
        <v>0.5</v>
      </c>
    </row>
    <row r="538" spans="1:10" x14ac:dyDescent="0.45">
      <c r="A538" s="11">
        <v>815</v>
      </c>
      <c r="B538" s="11" t="s">
        <v>1321</v>
      </c>
      <c r="C538" s="11">
        <v>0.18</v>
      </c>
      <c r="D538" s="11">
        <v>0</v>
      </c>
      <c r="E538" s="11">
        <v>1</v>
      </c>
      <c r="F538" s="11">
        <v>0</v>
      </c>
      <c r="G538" s="11">
        <v>17</v>
      </c>
      <c r="H538" s="11">
        <v>1</v>
      </c>
      <c r="I538" s="11">
        <v>0.16650000000000001</v>
      </c>
      <c r="J538" s="11">
        <v>0.5</v>
      </c>
    </row>
    <row r="539" spans="1:10" x14ac:dyDescent="0.45">
      <c r="A539" s="11">
        <v>816</v>
      </c>
      <c r="B539" s="11" t="s">
        <v>1322</v>
      </c>
      <c r="C539" s="11">
        <v>0.18</v>
      </c>
      <c r="D539" s="11">
        <v>0</v>
      </c>
      <c r="E539" s="11">
        <v>1</v>
      </c>
      <c r="F539" s="11">
        <v>0</v>
      </c>
      <c r="G539" s="11">
        <v>13</v>
      </c>
      <c r="H539" s="11">
        <v>1</v>
      </c>
      <c r="I539" s="11">
        <v>0.16650000000000001</v>
      </c>
      <c r="J539" s="11">
        <v>0.5</v>
      </c>
    </row>
    <row r="540" spans="1:10" x14ac:dyDescent="0.45">
      <c r="A540" s="11">
        <v>816</v>
      </c>
      <c r="B540" s="11" t="s">
        <v>1322</v>
      </c>
      <c r="C540" s="11">
        <v>0.18</v>
      </c>
      <c r="D540" s="11">
        <v>0</v>
      </c>
      <c r="E540" s="11">
        <v>1</v>
      </c>
      <c r="F540" s="11">
        <v>0</v>
      </c>
      <c r="G540" s="11">
        <v>17</v>
      </c>
      <c r="H540" s="11">
        <v>1</v>
      </c>
      <c r="I540" s="11">
        <v>0.16650000000000001</v>
      </c>
      <c r="J540" s="11">
        <v>0.5</v>
      </c>
    </row>
    <row r="541" spans="1:10" x14ac:dyDescent="0.45">
      <c r="A541" s="11">
        <v>817</v>
      </c>
      <c r="B541" s="11" t="s">
        <v>1323</v>
      </c>
      <c r="C541" s="11">
        <v>0.18</v>
      </c>
      <c r="D541" s="11">
        <v>0</v>
      </c>
      <c r="E541" s="11">
        <v>0</v>
      </c>
      <c r="F541" s="11">
        <v>0</v>
      </c>
      <c r="G541" s="11">
        <v>13</v>
      </c>
      <c r="H541" s="11">
        <v>1</v>
      </c>
      <c r="I541" s="11">
        <v>0</v>
      </c>
      <c r="J541" s="11">
        <v>0.5</v>
      </c>
    </row>
    <row r="542" spans="1:10" x14ac:dyDescent="0.45">
      <c r="A542" s="11">
        <v>817</v>
      </c>
      <c r="B542" s="11" t="s">
        <v>1323</v>
      </c>
      <c r="C542" s="11">
        <v>0.18</v>
      </c>
      <c r="D542" s="11">
        <v>0</v>
      </c>
      <c r="E542" s="11">
        <v>0</v>
      </c>
      <c r="F542" s="11">
        <v>0</v>
      </c>
      <c r="G542" s="11">
        <v>17</v>
      </c>
      <c r="H542" s="11">
        <v>1</v>
      </c>
      <c r="I542" s="11">
        <v>0</v>
      </c>
      <c r="J542" s="11">
        <v>0.5</v>
      </c>
    </row>
    <row r="543" spans="1:10" x14ac:dyDescent="0.45">
      <c r="A543" s="11">
        <v>818</v>
      </c>
      <c r="B543" s="11" t="s">
        <v>1324</v>
      </c>
      <c r="C543" s="11">
        <v>0.18</v>
      </c>
      <c r="D543" s="11">
        <v>0</v>
      </c>
      <c r="E543" s="11">
        <v>0</v>
      </c>
      <c r="F543" s="11">
        <v>0</v>
      </c>
      <c r="G543" s="11">
        <v>13</v>
      </c>
      <c r="H543" s="11">
        <v>1</v>
      </c>
      <c r="I543" s="11">
        <v>0</v>
      </c>
      <c r="J543" s="11">
        <v>0.5</v>
      </c>
    </row>
    <row r="544" spans="1:10" x14ac:dyDescent="0.45">
      <c r="A544" s="11">
        <v>818</v>
      </c>
      <c r="B544" s="11" t="s">
        <v>1324</v>
      </c>
      <c r="C544" s="11">
        <v>0.18</v>
      </c>
      <c r="D544" s="11">
        <v>0</v>
      </c>
      <c r="E544" s="11">
        <v>0</v>
      </c>
      <c r="F544" s="11">
        <v>0</v>
      </c>
      <c r="G544" s="11">
        <v>17</v>
      </c>
      <c r="H544" s="11">
        <v>1</v>
      </c>
      <c r="I544" s="11">
        <v>0</v>
      </c>
      <c r="J544" s="11">
        <v>0.5</v>
      </c>
    </row>
    <row r="545" spans="1:10" x14ac:dyDescent="0.45">
      <c r="A545" s="11">
        <v>819</v>
      </c>
      <c r="B545" s="11" t="s">
        <v>1325</v>
      </c>
      <c r="C545" s="11">
        <v>0.18</v>
      </c>
      <c r="D545" s="11">
        <v>0</v>
      </c>
      <c r="E545" s="11">
        <v>0</v>
      </c>
      <c r="F545" s="11">
        <v>0</v>
      </c>
      <c r="G545" s="11">
        <v>13</v>
      </c>
      <c r="H545" s="11">
        <v>1</v>
      </c>
      <c r="I545" s="11">
        <v>0</v>
      </c>
      <c r="J545" s="11">
        <v>0.33333332999999998</v>
      </c>
    </row>
    <row r="546" spans="1:10" x14ac:dyDescent="0.45">
      <c r="A546" s="11">
        <v>819</v>
      </c>
      <c r="B546" s="11" t="s">
        <v>1325</v>
      </c>
      <c r="C546" s="11">
        <v>0.18</v>
      </c>
      <c r="D546" s="11">
        <v>0</v>
      </c>
      <c r="E546" s="11">
        <v>0</v>
      </c>
      <c r="F546" s="11">
        <v>0</v>
      </c>
      <c r="G546" s="11">
        <v>20</v>
      </c>
      <c r="H546" s="11">
        <v>1</v>
      </c>
      <c r="I546" s="11">
        <v>0</v>
      </c>
      <c r="J546" s="11">
        <v>0.33333332999999998</v>
      </c>
    </row>
    <row r="547" spans="1:10" x14ac:dyDescent="0.45">
      <c r="A547" s="11">
        <v>819</v>
      </c>
      <c r="B547" s="11" t="s">
        <v>1325</v>
      </c>
      <c r="C547" s="11">
        <v>0.18</v>
      </c>
      <c r="D547" s="11">
        <v>0</v>
      </c>
      <c r="E547" s="11">
        <v>0</v>
      </c>
      <c r="F547" s="11">
        <v>0</v>
      </c>
      <c r="G547" s="11">
        <v>17</v>
      </c>
      <c r="H547" s="11">
        <v>1</v>
      </c>
      <c r="I547" s="11">
        <v>0</v>
      </c>
      <c r="J547" s="11">
        <v>0.33333332999999998</v>
      </c>
    </row>
    <row r="548" spans="1:10" x14ac:dyDescent="0.45">
      <c r="A548" s="11">
        <v>820</v>
      </c>
      <c r="B548" s="11" t="s">
        <v>1326</v>
      </c>
      <c r="C548" s="11">
        <v>0.18</v>
      </c>
      <c r="D548" s="11">
        <v>0</v>
      </c>
      <c r="E548" s="11">
        <v>0</v>
      </c>
      <c r="F548" s="11">
        <v>0</v>
      </c>
      <c r="G548" s="11">
        <v>13</v>
      </c>
      <c r="H548" s="11">
        <v>1</v>
      </c>
      <c r="I548" s="11">
        <v>0</v>
      </c>
      <c r="J548" s="11">
        <v>0.33333332999999998</v>
      </c>
    </row>
    <row r="549" spans="1:10" x14ac:dyDescent="0.45">
      <c r="A549" s="11">
        <v>820</v>
      </c>
      <c r="B549" s="11" t="s">
        <v>1326</v>
      </c>
      <c r="C549" s="11">
        <v>0.18</v>
      </c>
      <c r="D549" s="11">
        <v>0</v>
      </c>
      <c r="E549" s="11">
        <v>0</v>
      </c>
      <c r="F549" s="11">
        <v>0</v>
      </c>
      <c r="G549" s="11">
        <v>20</v>
      </c>
      <c r="H549" s="11">
        <v>1</v>
      </c>
      <c r="I549" s="11">
        <v>0</v>
      </c>
      <c r="J549" s="11">
        <v>0.33333332999999998</v>
      </c>
    </row>
    <row r="550" spans="1:10" x14ac:dyDescent="0.45">
      <c r="A550" s="11">
        <v>820</v>
      </c>
      <c r="B550" s="11" t="s">
        <v>1326</v>
      </c>
      <c r="C550" s="11">
        <v>0.18</v>
      </c>
      <c r="D550" s="11">
        <v>0</v>
      </c>
      <c r="E550" s="11">
        <v>0</v>
      </c>
      <c r="F550" s="11">
        <v>0</v>
      </c>
      <c r="G550" s="11">
        <v>17</v>
      </c>
      <c r="H550" s="11">
        <v>1</v>
      </c>
      <c r="I550" s="11">
        <v>0</v>
      </c>
      <c r="J550" s="11">
        <v>0.33333332999999998</v>
      </c>
    </row>
    <row r="551" spans="1:10" x14ac:dyDescent="0.45">
      <c r="A551" s="11">
        <v>821</v>
      </c>
      <c r="B551" s="11" t="s">
        <v>1327</v>
      </c>
      <c r="C551" s="11">
        <v>0.18</v>
      </c>
      <c r="D551" s="11">
        <v>0</v>
      </c>
      <c r="E551" s="11">
        <v>0</v>
      </c>
      <c r="F551" s="11">
        <v>0</v>
      </c>
      <c r="G551" s="11">
        <v>13</v>
      </c>
      <c r="H551" s="11">
        <v>1</v>
      </c>
      <c r="I551" s="11">
        <v>0</v>
      </c>
      <c r="J551" s="11">
        <v>0.33333332999999998</v>
      </c>
    </row>
    <row r="552" spans="1:10" x14ac:dyDescent="0.45">
      <c r="A552" s="11">
        <v>821</v>
      </c>
      <c r="B552" s="11" t="s">
        <v>1327</v>
      </c>
      <c r="C552" s="11">
        <v>0.18</v>
      </c>
      <c r="D552" s="11">
        <v>0</v>
      </c>
      <c r="E552" s="11">
        <v>0</v>
      </c>
      <c r="F552" s="11">
        <v>0</v>
      </c>
      <c r="G552" s="11">
        <v>20</v>
      </c>
      <c r="H552" s="11">
        <v>1</v>
      </c>
      <c r="I552" s="11">
        <v>0</v>
      </c>
      <c r="J552" s="11">
        <v>0.33333332999999998</v>
      </c>
    </row>
    <row r="553" spans="1:10" x14ac:dyDescent="0.45">
      <c r="A553" s="11">
        <v>821</v>
      </c>
      <c r="B553" s="11" t="s">
        <v>1327</v>
      </c>
      <c r="C553" s="11">
        <v>0.18</v>
      </c>
      <c r="D553" s="11">
        <v>0</v>
      </c>
      <c r="E553" s="11">
        <v>0</v>
      </c>
      <c r="F553" s="11">
        <v>0</v>
      </c>
      <c r="G553" s="11">
        <v>17</v>
      </c>
      <c r="H553" s="11">
        <v>1</v>
      </c>
      <c r="I553" s="11">
        <v>0</v>
      </c>
      <c r="J553" s="11">
        <v>0.33333332999999998</v>
      </c>
    </row>
    <row r="554" spans="1:10" x14ac:dyDescent="0.45">
      <c r="A554" s="11">
        <v>822</v>
      </c>
      <c r="B554" s="11" t="s">
        <v>1328</v>
      </c>
      <c r="C554" s="11">
        <v>0.18</v>
      </c>
      <c r="D554" s="11">
        <v>0</v>
      </c>
      <c r="E554" s="11">
        <v>0</v>
      </c>
      <c r="F554" s="11">
        <v>0</v>
      </c>
      <c r="G554" s="11">
        <v>13</v>
      </c>
      <c r="H554" s="11">
        <v>1</v>
      </c>
      <c r="I554" s="11">
        <v>0</v>
      </c>
      <c r="J554" s="11">
        <v>0.33333332999999998</v>
      </c>
    </row>
    <row r="555" spans="1:10" x14ac:dyDescent="0.45">
      <c r="A555" s="11">
        <v>822</v>
      </c>
      <c r="B555" s="11" t="s">
        <v>1328</v>
      </c>
      <c r="C555" s="11">
        <v>0.18</v>
      </c>
      <c r="D555" s="11">
        <v>0</v>
      </c>
      <c r="E555" s="11">
        <v>0</v>
      </c>
      <c r="F555" s="11">
        <v>0</v>
      </c>
      <c r="G555" s="11">
        <v>20</v>
      </c>
      <c r="H555" s="11">
        <v>1</v>
      </c>
      <c r="I555" s="11">
        <v>0</v>
      </c>
      <c r="J555" s="11">
        <v>0.33333332999999998</v>
      </c>
    </row>
    <row r="556" spans="1:10" x14ac:dyDescent="0.45">
      <c r="A556" s="11">
        <v>822</v>
      </c>
      <c r="B556" s="11" t="s">
        <v>1328</v>
      </c>
      <c r="C556" s="11">
        <v>0.18</v>
      </c>
      <c r="D556" s="11">
        <v>0</v>
      </c>
      <c r="E556" s="11">
        <v>0</v>
      </c>
      <c r="F556" s="11">
        <v>0</v>
      </c>
      <c r="G556" s="11">
        <v>17</v>
      </c>
      <c r="H556" s="11">
        <v>1</v>
      </c>
      <c r="I556" s="11">
        <v>0</v>
      </c>
      <c r="J556" s="11">
        <v>0.33333332999999998</v>
      </c>
    </row>
    <row r="557" spans="1:10" x14ac:dyDescent="0.45">
      <c r="A557" s="11">
        <v>823</v>
      </c>
      <c r="B557" s="11" t="s">
        <v>1329</v>
      </c>
      <c r="C557" s="11">
        <v>0.18</v>
      </c>
      <c r="D557" s="11">
        <v>0</v>
      </c>
      <c r="E557" s="11">
        <v>0</v>
      </c>
      <c r="F557" s="11">
        <v>0</v>
      </c>
      <c r="G557" s="11">
        <v>13</v>
      </c>
      <c r="H557" s="11">
        <v>1</v>
      </c>
      <c r="I557" s="11">
        <v>0</v>
      </c>
      <c r="J557" s="11">
        <v>0.5</v>
      </c>
    </row>
    <row r="558" spans="1:10" x14ac:dyDescent="0.45">
      <c r="A558" s="11">
        <v>823</v>
      </c>
      <c r="B558" s="11" t="s">
        <v>1329</v>
      </c>
      <c r="C558" s="11">
        <v>0.18</v>
      </c>
      <c r="D558" s="11">
        <v>0</v>
      </c>
      <c r="E558" s="11">
        <v>0</v>
      </c>
      <c r="F558" s="11">
        <v>0</v>
      </c>
      <c r="G558" s="11">
        <v>17</v>
      </c>
      <c r="H558" s="11">
        <v>1</v>
      </c>
      <c r="I558" s="11">
        <v>0</v>
      </c>
      <c r="J558" s="11">
        <v>0.5</v>
      </c>
    </row>
    <row r="559" spans="1:10" x14ac:dyDescent="0.45">
      <c r="A559" s="11">
        <v>824</v>
      </c>
      <c r="B559" s="11" t="s">
        <v>1330</v>
      </c>
      <c r="C559" s="11">
        <v>0.18</v>
      </c>
      <c r="D559" s="11">
        <v>0</v>
      </c>
      <c r="E559" s="11">
        <v>0</v>
      </c>
      <c r="F559" s="11">
        <v>0</v>
      </c>
      <c r="G559" s="11">
        <v>13</v>
      </c>
      <c r="H559" s="11">
        <v>1</v>
      </c>
      <c r="I559" s="11">
        <v>0</v>
      </c>
      <c r="J559" s="11">
        <v>0.5</v>
      </c>
    </row>
    <row r="560" spans="1:10" x14ac:dyDescent="0.45">
      <c r="A560" s="11">
        <v>824</v>
      </c>
      <c r="B560" s="11" t="s">
        <v>1330</v>
      </c>
      <c r="C560" s="11">
        <v>0.18</v>
      </c>
      <c r="D560" s="11">
        <v>0</v>
      </c>
      <c r="E560" s="11">
        <v>0</v>
      </c>
      <c r="F560" s="11">
        <v>0</v>
      </c>
      <c r="G560" s="11">
        <v>17</v>
      </c>
      <c r="H560" s="11">
        <v>1</v>
      </c>
      <c r="I560" s="11">
        <v>0</v>
      </c>
      <c r="J560" s="11">
        <v>0.5</v>
      </c>
    </row>
    <row r="561" spans="1:10" x14ac:dyDescent="0.45">
      <c r="A561" s="11">
        <v>825</v>
      </c>
      <c r="B561" s="11" t="s">
        <v>1331</v>
      </c>
      <c r="C561" s="11">
        <v>0.18</v>
      </c>
      <c r="D561" s="11">
        <v>0</v>
      </c>
      <c r="E561" s="11">
        <v>0</v>
      </c>
      <c r="F561" s="11">
        <v>0</v>
      </c>
      <c r="G561" s="11">
        <v>13</v>
      </c>
      <c r="H561" s="11">
        <v>1</v>
      </c>
      <c r="I561" s="11">
        <v>0</v>
      </c>
      <c r="J561" s="11">
        <v>0.5</v>
      </c>
    </row>
    <row r="562" spans="1:10" x14ac:dyDescent="0.45">
      <c r="A562" s="11">
        <v>825</v>
      </c>
      <c r="B562" s="11" t="s">
        <v>1331</v>
      </c>
      <c r="C562" s="11">
        <v>0.18</v>
      </c>
      <c r="D562" s="11">
        <v>0</v>
      </c>
      <c r="E562" s="11">
        <v>0</v>
      </c>
      <c r="F562" s="11">
        <v>0</v>
      </c>
      <c r="G562" s="11">
        <v>17</v>
      </c>
      <c r="H562" s="11">
        <v>1</v>
      </c>
      <c r="I562" s="11">
        <v>0</v>
      </c>
      <c r="J562" s="11">
        <v>0.5</v>
      </c>
    </row>
    <row r="563" spans="1:10" x14ac:dyDescent="0.45">
      <c r="A563" s="11">
        <v>826</v>
      </c>
      <c r="B563" s="11" t="s">
        <v>1332</v>
      </c>
      <c r="C563" s="11">
        <v>0.18</v>
      </c>
      <c r="D563" s="11">
        <v>0</v>
      </c>
      <c r="E563" s="11">
        <v>0</v>
      </c>
      <c r="F563" s="11">
        <v>0</v>
      </c>
      <c r="G563" s="11">
        <v>13</v>
      </c>
      <c r="H563" s="11">
        <v>1</v>
      </c>
      <c r="I563" s="11">
        <v>0</v>
      </c>
      <c r="J563" s="11">
        <v>0.5</v>
      </c>
    </row>
    <row r="564" spans="1:10" x14ac:dyDescent="0.45">
      <c r="A564" s="11">
        <v>826</v>
      </c>
      <c r="B564" s="11" t="s">
        <v>1332</v>
      </c>
      <c r="C564" s="11">
        <v>0.18</v>
      </c>
      <c r="D564" s="11">
        <v>0</v>
      </c>
      <c r="E564" s="11">
        <v>0</v>
      </c>
      <c r="F564" s="11">
        <v>0</v>
      </c>
      <c r="G564" s="11">
        <v>17</v>
      </c>
      <c r="H564" s="11">
        <v>1</v>
      </c>
      <c r="I564" s="11">
        <v>0</v>
      </c>
      <c r="J564" s="11">
        <v>0.5</v>
      </c>
    </row>
    <row r="565" spans="1:10" x14ac:dyDescent="0.45">
      <c r="A565" s="11">
        <v>827</v>
      </c>
      <c r="B565" s="11" t="s">
        <v>1333</v>
      </c>
      <c r="C565" s="11">
        <v>0.18</v>
      </c>
      <c r="D565" s="11">
        <v>0</v>
      </c>
      <c r="E565" s="11">
        <v>0</v>
      </c>
      <c r="F565" s="11">
        <v>0</v>
      </c>
      <c r="G565" s="11">
        <v>13</v>
      </c>
      <c r="H565" s="11">
        <v>1</v>
      </c>
      <c r="I565" s="11">
        <v>0</v>
      </c>
      <c r="J565" s="11">
        <v>0.5</v>
      </c>
    </row>
    <row r="566" spans="1:10" x14ac:dyDescent="0.45">
      <c r="A566" s="11">
        <v>827</v>
      </c>
      <c r="B566" s="11" t="s">
        <v>1333</v>
      </c>
      <c r="C566" s="11">
        <v>0.18</v>
      </c>
      <c r="D566" s="11">
        <v>0</v>
      </c>
      <c r="E566" s="11">
        <v>0</v>
      </c>
      <c r="F566" s="11">
        <v>0</v>
      </c>
      <c r="G566" s="11">
        <v>17</v>
      </c>
      <c r="H566" s="11">
        <v>1</v>
      </c>
      <c r="I566" s="11">
        <v>0</v>
      </c>
      <c r="J566" s="11">
        <v>0.5</v>
      </c>
    </row>
    <row r="567" spans="1:10" x14ac:dyDescent="0.45">
      <c r="A567" s="11">
        <v>828</v>
      </c>
      <c r="B567" s="11" t="s">
        <v>1334</v>
      </c>
      <c r="C567" s="11">
        <v>0.18</v>
      </c>
      <c r="D567" s="11">
        <v>0</v>
      </c>
      <c r="E567" s="11">
        <v>0</v>
      </c>
      <c r="F567" s="11">
        <v>0</v>
      </c>
      <c r="G567" s="11">
        <v>13</v>
      </c>
      <c r="H567" s="11">
        <v>1</v>
      </c>
      <c r="I567" s="11">
        <v>0</v>
      </c>
      <c r="J567" s="11">
        <v>0.5</v>
      </c>
    </row>
    <row r="568" spans="1:10" x14ac:dyDescent="0.45">
      <c r="A568" s="11">
        <v>828</v>
      </c>
      <c r="B568" s="11" t="s">
        <v>1334</v>
      </c>
      <c r="C568" s="11">
        <v>0.18</v>
      </c>
      <c r="D568" s="11">
        <v>0</v>
      </c>
      <c r="E568" s="11">
        <v>0</v>
      </c>
      <c r="F568" s="11">
        <v>0</v>
      </c>
      <c r="G568" s="11">
        <v>17</v>
      </c>
      <c r="H568" s="11">
        <v>1</v>
      </c>
      <c r="I568" s="11">
        <v>0</v>
      </c>
      <c r="J568" s="11">
        <v>0.5</v>
      </c>
    </row>
    <row r="569" spans="1:10" x14ac:dyDescent="0.45">
      <c r="A569" s="11">
        <v>829</v>
      </c>
      <c r="B569" s="11" t="s">
        <v>1335</v>
      </c>
      <c r="C569" s="11">
        <v>0.18</v>
      </c>
      <c r="D569" s="11">
        <v>0</v>
      </c>
      <c r="E569" s="11">
        <v>0</v>
      </c>
      <c r="F569" s="11">
        <v>0</v>
      </c>
      <c r="G569" s="11">
        <v>18</v>
      </c>
      <c r="H569" s="11">
        <v>1</v>
      </c>
      <c r="I569" s="11">
        <v>0</v>
      </c>
      <c r="J569" s="11">
        <v>0.5</v>
      </c>
    </row>
    <row r="570" spans="1:10" x14ac:dyDescent="0.45">
      <c r="A570" s="11">
        <v>829</v>
      </c>
      <c r="B570" s="11" t="s">
        <v>1335</v>
      </c>
      <c r="C570" s="11">
        <v>0.18</v>
      </c>
      <c r="D570" s="11">
        <v>0</v>
      </c>
      <c r="E570" s="11">
        <v>0</v>
      </c>
      <c r="F570" s="11">
        <v>0</v>
      </c>
      <c r="G570" s="11">
        <v>17</v>
      </c>
      <c r="H570" s="11">
        <v>1</v>
      </c>
      <c r="I570" s="11">
        <v>0</v>
      </c>
      <c r="J570" s="11">
        <v>0.5</v>
      </c>
    </row>
    <row r="571" spans="1:10" x14ac:dyDescent="0.45">
      <c r="A571" s="11">
        <v>830</v>
      </c>
      <c r="B571" s="11" t="s">
        <v>1336</v>
      </c>
      <c r="C571" s="11">
        <v>0.18</v>
      </c>
      <c r="D571" s="11">
        <v>0</v>
      </c>
      <c r="E571" s="11">
        <v>0</v>
      </c>
      <c r="F571" s="11">
        <v>0</v>
      </c>
      <c r="G571" s="11">
        <v>18</v>
      </c>
      <c r="H571" s="11">
        <v>1</v>
      </c>
      <c r="I571" s="11">
        <v>0</v>
      </c>
      <c r="J571" s="11">
        <v>0.5</v>
      </c>
    </row>
    <row r="572" spans="1:10" x14ac:dyDescent="0.45">
      <c r="A572" s="11">
        <v>830</v>
      </c>
      <c r="B572" s="11" t="s">
        <v>1336</v>
      </c>
      <c r="C572" s="11">
        <v>0.18</v>
      </c>
      <c r="D572" s="11">
        <v>0</v>
      </c>
      <c r="E572" s="11">
        <v>0</v>
      </c>
      <c r="F572" s="11">
        <v>0</v>
      </c>
      <c r="G572" s="11">
        <v>17</v>
      </c>
      <c r="H572" s="11">
        <v>1</v>
      </c>
      <c r="I572" s="11">
        <v>0</v>
      </c>
      <c r="J572" s="11">
        <v>0.5</v>
      </c>
    </row>
    <row r="573" spans="1:10" x14ac:dyDescent="0.45">
      <c r="A573" s="11">
        <v>831</v>
      </c>
      <c r="B573" s="11" t="s">
        <v>1337</v>
      </c>
      <c r="C573" s="11">
        <v>0.18</v>
      </c>
      <c r="D573" s="11">
        <v>0</v>
      </c>
      <c r="E573" s="11">
        <v>0</v>
      </c>
      <c r="F573" s="11">
        <v>0</v>
      </c>
      <c r="G573" s="11">
        <v>13</v>
      </c>
      <c r="H573" s="11">
        <v>1</v>
      </c>
      <c r="I573" s="11">
        <v>0</v>
      </c>
      <c r="J573" s="11">
        <v>0.5</v>
      </c>
    </row>
    <row r="574" spans="1:10" x14ac:dyDescent="0.45">
      <c r="A574" s="11">
        <v>831</v>
      </c>
      <c r="B574" s="11" t="s">
        <v>1337</v>
      </c>
      <c r="C574" s="11">
        <v>0.18</v>
      </c>
      <c r="D574" s="11">
        <v>0</v>
      </c>
      <c r="E574" s="11">
        <v>0</v>
      </c>
      <c r="F574" s="11">
        <v>0</v>
      </c>
      <c r="G574" s="11">
        <v>17</v>
      </c>
      <c r="H574" s="11">
        <v>1</v>
      </c>
      <c r="I574" s="11">
        <v>0</v>
      </c>
      <c r="J574" s="11">
        <v>0.5</v>
      </c>
    </row>
    <row r="575" spans="1:10" x14ac:dyDescent="0.45">
      <c r="A575" s="11">
        <v>832</v>
      </c>
      <c r="B575" s="11" t="s">
        <v>1338</v>
      </c>
      <c r="C575" s="11">
        <v>0.18</v>
      </c>
      <c r="D575" s="11">
        <v>0</v>
      </c>
      <c r="E575" s="11">
        <v>0</v>
      </c>
      <c r="F575" s="11">
        <v>0</v>
      </c>
      <c r="G575" s="11">
        <v>13</v>
      </c>
      <c r="H575" s="11">
        <v>1</v>
      </c>
      <c r="I575" s="11">
        <v>0</v>
      </c>
      <c r="J575" s="11">
        <v>0.5</v>
      </c>
    </row>
    <row r="576" spans="1:10" x14ac:dyDescent="0.45">
      <c r="A576" s="11">
        <v>832</v>
      </c>
      <c r="B576" s="11" t="s">
        <v>1338</v>
      </c>
      <c r="C576" s="11">
        <v>0.18</v>
      </c>
      <c r="D576" s="11">
        <v>0</v>
      </c>
      <c r="E576" s="11">
        <v>0</v>
      </c>
      <c r="F576" s="11">
        <v>0</v>
      </c>
      <c r="G576" s="11">
        <v>17</v>
      </c>
      <c r="H576" s="11">
        <v>1</v>
      </c>
      <c r="I576" s="11">
        <v>0</v>
      </c>
      <c r="J576" s="11">
        <v>0.5</v>
      </c>
    </row>
    <row r="577" spans="1:10" x14ac:dyDescent="0.45">
      <c r="A577" s="11">
        <v>833</v>
      </c>
      <c r="B577" s="11" t="s">
        <v>1339</v>
      </c>
      <c r="C577" s="11">
        <v>0.18</v>
      </c>
      <c r="D577" s="11">
        <v>0</v>
      </c>
      <c r="E577" s="11">
        <v>0</v>
      </c>
      <c r="F577" s="11">
        <v>0</v>
      </c>
      <c r="G577" s="11">
        <v>13</v>
      </c>
      <c r="H577" s="11">
        <v>1</v>
      </c>
      <c r="I577" s="11">
        <v>0</v>
      </c>
      <c r="J577" s="11">
        <v>0.5</v>
      </c>
    </row>
    <row r="578" spans="1:10" x14ac:dyDescent="0.45">
      <c r="A578" s="11">
        <v>833</v>
      </c>
      <c r="B578" s="11" t="s">
        <v>1339</v>
      </c>
      <c r="C578" s="11">
        <v>0.18</v>
      </c>
      <c r="D578" s="11">
        <v>0</v>
      </c>
      <c r="E578" s="11">
        <v>0</v>
      </c>
      <c r="F578" s="11">
        <v>0</v>
      </c>
      <c r="G578" s="11">
        <v>17</v>
      </c>
      <c r="H578" s="11">
        <v>1</v>
      </c>
      <c r="I578" s="11">
        <v>0</v>
      </c>
      <c r="J578" s="11">
        <v>0.5</v>
      </c>
    </row>
    <row r="579" spans="1:10" x14ac:dyDescent="0.45">
      <c r="A579" s="11">
        <v>834</v>
      </c>
      <c r="B579" s="11" t="s">
        <v>1340</v>
      </c>
      <c r="C579" s="11">
        <v>0.18</v>
      </c>
      <c r="D579" s="11">
        <v>0</v>
      </c>
      <c r="E579" s="11">
        <v>0</v>
      </c>
      <c r="F579" s="11">
        <v>0</v>
      </c>
      <c r="G579" s="11">
        <v>13</v>
      </c>
      <c r="H579" s="11">
        <v>1</v>
      </c>
      <c r="I579" s="11">
        <v>0</v>
      </c>
      <c r="J579" s="11">
        <v>0.5</v>
      </c>
    </row>
    <row r="580" spans="1:10" x14ac:dyDescent="0.45">
      <c r="A580" s="11">
        <v>834</v>
      </c>
      <c r="B580" s="11" t="s">
        <v>1340</v>
      </c>
      <c r="C580" s="11">
        <v>0.18</v>
      </c>
      <c r="D580" s="11">
        <v>0</v>
      </c>
      <c r="E580" s="11">
        <v>0</v>
      </c>
      <c r="F580" s="11">
        <v>0</v>
      </c>
      <c r="G580" s="11">
        <v>17</v>
      </c>
      <c r="H580" s="11">
        <v>1</v>
      </c>
      <c r="I580" s="11">
        <v>0</v>
      </c>
      <c r="J580" s="11">
        <v>0.5</v>
      </c>
    </row>
    <row r="581" spans="1:10" x14ac:dyDescent="0.45">
      <c r="A581" s="11">
        <v>835</v>
      </c>
      <c r="B581" s="11" t="s">
        <v>1341</v>
      </c>
      <c r="C581" s="11">
        <v>0.18</v>
      </c>
      <c r="D581" s="11">
        <v>0</v>
      </c>
      <c r="E581" s="11">
        <v>0</v>
      </c>
      <c r="F581" s="11">
        <v>0</v>
      </c>
      <c r="G581" s="11">
        <v>13</v>
      </c>
      <c r="H581" s="11">
        <v>1</v>
      </c>
      <c r="I581" s="11">
        <v>0</v>
      </c>
      <c r="J581" s="11">
        <v>0.33333332999999998</v>
      </c>
    </row>
    <row r="582" spans="1:10" x14ac:dyDescent="0.45">
      <c r="A582" s="11">
        <v>835</v>
      </c>
      <c r="B582" s="11" t="s">
        <v>1341</v>
      </c>
      <c r="C582" s="11">
        <v>0.18</v>
      </c>
      <c r="D582" s="11">
        <v>0</v>
      </c>
      <c r="E582" s="11">
        <v>0</v>
      </c>
      <c r="F582" s="11">
        <v>0</v>
      </c>
      <c r="G582" s="11">
        <v>20</v>
      </c>
      <c r="H582" s="11">
        <v>1</v>
      </c>
      <c r="I582" s="11">
        <v>0</v>
      </c>
      <c r="J582" s="11">
        <v>0.33333332999999998</v>
      </c>
    </row>
    <row r="583" spans="1:10" x14ac:dyDescent="0.45">
      <c r="A583" s="11">
        <v>835</v>
      </c>
      <c r="B583" s="11" t="s">
        <v>1341</v>
      </c>
      <c r="C583" s="11">
        <v>0.18</v>
      </c>
      <c r="D583" s="11">
        <v>0</v>
      </c>
      <c r="E583" s="11">
        <v>0</v>
      </c>
      <c r="F583" s="11">
        <v>0</v>
      </c>
      <c r="G583" s="11">
        <v>17</v>
      </c>
      <c r="H583" s="11">
        <v>1</v>
      </c>
      <c r="I583" s="11">
        <v>0</v>
      </c>
      <c r="J583" s="11">
        <v>0.33333332999999998</v>
      </c>
    </row>
    <row r="584" spans="1:10" x14ac:dyDescent="0.45">
      <c r="A584" s="11">
        <v>836</v>
      </c>
      <c r="B584" s="11" t="s">
        <v>1342</v>
      </c>
      <c r="C584" s="11">
        <v>0.18</v>
      </c>
      <c r="D584" s="11">
        <v>0</v>
      </c>
      <c r="E584" s="11">
        <v>0</v>
      </c>
      <c r="F584" s="11">
        <v>0</v>
      </c>
      <c r="G584" s="11">
        <v>13</v>
      </c>
      <c r="H584" s="11">
        <v>1</v>
      </c>
      <c r="I584" s="11">
        <v>0</v>
      </c>
      <c r="J584" s="11">
        <v>0.33333332999999998</v>
      </c>
    </row>
    <row r="585" spans="1:10" x14ac:dyDescent="0.45">
      <c r="A585" s="11">
        <v>836</v>
      </c>
      <c r="B585" s="11" t="s">
        <v>1342</v>
      </c>
      <c r="C585" s="11">
        <v>0.18</v>
      </c>
      <c r="D585" s="11">
        <v>0</v>
      </c>
      <c r="E585" s="11">
        <v>0</v>
      </c>
      <c r="F585" s="11">
        <v>0</v>
      </c>
      <c r="G585" s="11">
        <v>20</v>
      </c>
      <c r="H585" s="11">
        <v>1</v>
      </c>
      <c r="I585" s="11">
        <v>0</v>
      </c>
      <c r="J585" s="11">
        <v>0.33333332999999998</v>
      </c>
    </row>
    <row r="586" spans="1:10" x14ac:dyDescent="0.45">
      <c r="A586" s="11">
        <v>836</v>
      </c>
      <c r="B586" s="11" t="s">
        <v>1342</v>
      </c>
      <c r="C586" s="11">
        <v>0.18</v>
      </c>
      <c r="D586" s="11">
        <v>0</v>
      </c>
      <c r="E586" s="11">
        <v>0</v>
      </c>
      <c r="F586" s="11">
        <v>0</v>
      </c>
      <c r="G586" s="11">
        <v>17</v>
      </c>
      <c r="H586" s="11">
        <v>1</v>
      </c>
      <c r="I586" s="11">
        <v>0</v>
      </c>
      <c r="J586" s="11">
        <v>0.33333332999999998</v>
      </c>
    </row>
    <row r="587" spans="1:10" x14ac:dyDescent="0.45">
      <c r="A587" s="11">
        <v>837</v>
      </c>
      <c r="B587" s="11" t="s">
        <v>1343</v>
      </c>
      <c r="C587" s="11">
        <v>0.18</v>
      </c>
      <c r="D587" s="11">
        <v>0</v>
      </c>
      <c r="E587" s="11">
        <v>0</v>
      </c>
      <c r="F587" s="11">
        <v>0</v>
      </c>
      <c r="G587" s="11">
        <v>13</v>
      </c>
      <c r="H587" s="11">
        <v>1</v>
      </c>
      <c r="I587" s="11">
        <v>0</v>
      </c>
      <c r="J587" s="11">
        <v>0.33333332999999998</v>
      </c>
    </row>
    <row r="588" spans="1:10" x14ac:dyDescent="0.45">
      <c r="A588" s="11">
        <v>837</v>
      </c>
      <c r="B588" s="11" t="s">
        <v>1343</v>
      </c>
      <c r="C588" s="11">
        <v>0.18</v>
      </c>
      <c r="D588" s="11">
        <v>0</v>
      </c>
      <c r="E588" s="11">
        <v>0</v>
      </c>
      <c r="F588" s="11">
        <v>0</v>
      </c>
      <c r="G588" s="11">
        <v>20</v>
      </c>
      <c r="H588" s="11">
        <v>1</v>
      </c>
      <c r="I588" s="11">
        <v>0</v>
      </c>
      <c r="J588" s="11">
        <v>0.33333332999999998</v>
      </c>
    </row>
    <row r="589" spans="1:10" x14ac:dyDescent="0.45">
      <c r="A589" s="11">
        <v>837</v>
      </c>
      <c r="B589" s="11" t="s">
        <v>1343</v>
      </c>
      <c r="C589" s="11">
        <v>0.18</v>
      </c>
      <c r="D589" s="11">
        <v>0</v>
      </c>
      <c r="E589" s="11">
        <v>0</v>
      </c>
      <c r="F589" s="11">
        <v>0</v>
      </c>
      <c r="G589" s="11">
        <v>17</v>
      </c>
      <c r="H589" s="11">
        <v>1</v>
      </c>
      <c r="I589" s="11">
        <v>0</v>
      </c>
      <c r="J589" s="11">
        <v>0.33333332999999998</v>
      </c>
    </row>
    <row r="590" spans="1:10" x14ac:dyDescent="0.45">
      <c r="A590" s="11">
        <v>838</v>
      </c>
      <c r="B590" s="11" t="s">
        <v>1344</v>
      </c>
      <c r="C590" s="11">
        <v>0.18</v>
      </c>
      <c r="D590" s="11">
        <v>0</v>
      </c>
      <c r="E590" s="11">
        <v>0</v>
      </c>
      <c r="F590" s="11">
        <v>0</v>
      </c>
      <c r="G590" s="11">
        <v>13</v>
      </c>
      <c r="H590" s="11">
        <v>1</v>
      </c>
      <c r="I590" s="11">
        <v>0</v>
      </c>
      <c r="J590" s="11">
        <v>0.33333332999999998</v>
      </c>
    </row>
    <row r="591" spans="1:10" x14ac:dyDescent="0.45">
      <c r="A591" s="11">
        <v>838</v>
      </c>
      <c r="B591" s="11" t="s">
        <v>1344</v>
      </c>
      <c r="C591" s="11">
        <v>0.18</v>
      </c>
      <c r="D591" s="11">
        <v>0</v>
      </c>
      <c r="E591" s="11">
        <v>0</v>
      </c>
      <c r="F591" s="11">
        <v>0</v>
      </c>
      <c r="G591" s="11">
        <v>20</v>
      </c>
      <c r="H591" s="11">
        <v>1</v>
      </c>
      <c r="I591" s="11">
        <v>0</v>
      </c>
      <c r="J591" s="11">
        <v>0.33333332999999998</v>
      </c>
    </row>
    <row r="592" spans="1:10" x14ac:dyDescent="0.45">
      <c r="A592" s="11">
        <v>838</v>
      </c>
      <c r="B592" s="11" t="s">
        <v>1344</v>
      </c>
      <c r="C592" s="11">
        <v>0.18</v>
      </c>
      <c r="D592" s="11">
        <v>0</v>
      </c>
      <c r="E592" s="11">
        <v>0</v>
      </c>
      <c r="F592" s="11">
        <v>0</v>
      </c>
      <c r="G592" s="11">
        <v>17</v>
      </c>
      <c r="H592" s="11">
        <v>1</v>
      </c>
      <c r="I592" s="11">
        <v>0</v>
      </c>
      <c r="J592" s="11">
        <v>0.33333332999999998</v>
      </c>
    </row>
    <row r="593" spans="1:10" x14ac:dyDescent="0.45">
      <c r="A593" s="11">
        <v>839</v>
      </c>
      <c r="B593" s="11" t="s">
        <v>1345</v>
      </c>
      <c r="C593" s="11">
        <v>0.18</v>
      </c>
      <c r="D593" s="11">
        <v>0</v>
      </c>
      <c r="E593" s="11">
        <v>0</v>
      </c>
      <c r="F593" s="11">
        <v>0</v>
      </c>
      <c r="G593" s="11">
        <v>13</v>
      </c>
      <c r="H593" s="11">
        <v>1</v>
      </c>
      <c r="I593" s="11">
        <v>0</v>
      </c>
      <c r="J593" s="11">
        <v>0.33333332999999998</v>
      </c>
    </row>
    <row r="594" spans="1:10" x14ac:dyDescent="0.45">
      <c r="A594" s="11">
        <v>839</v>
      </c>
      <c r="B594" s="11" t="s">
        <v>1345</v>
      </c>
      <c r="C594" s="11">
        <v>0.18</v>
      </c>
      <c r="D594" s="11">
        <v>0</v>
      </c>
      <c r="E594" s="11">
        <v>0</v>
      </c>
      <c r="F594" s="11">
        <v>0</v>
      </c>
      <c r="G594" s="11">
        <v>17</v>
      </c>
      <c r="H594" s="11">
        <v>1</v>
      </c>
      <c r="I594" s="11">
        <v>0</v>
      </c>
      <c r="J594" s="11">
        <v>0.33333332999999998</v>
      </c>
    </row>
    <row r="595" spans="1:10" x14ac:dyDescent="0.45">
      <c r="A595" s="11">
        <v>839</v>
      </c>
      <c r="B595" s="11" t="s">
        <v>1345</v>
      </c>
      <c r="C595" s="11">
        <v>0.18</v>
      </c>
      <c r="D595" s="11">
        <v>0</v>
      </c>
      <c r="E595" s="11">
        <v>0</v>
      </c>
      <c r="F595" s="11">
        <v>0</v>
      </c>
      <c r="G595" s="11">
        <v>28</v>
      </c>
      <c r="H595" s="11">
        <v>1</v>
      </c>
      <c r="I595" s="11">
        <v>0</v>
      </c>
      <c r="J595" s="11">
        <v>0.33333332999999998</v>
      </c>
    </row>
    <row r="596" spans="1:10" x14ac:dyDescent="0.45">
      <c r="A596" s="11">
        <v>842</v>
      </c>
      <c r="B596" s="11" t="s">
        <v>1346</v>
      </c>
      <c r="C596" s="11">
        <v>0.18</v>
      </c>
      <c r="D596" s="11">
        <v>0</v>
      </c>
      <c r="E596" s="11">
        <v>0</v>
      </c>
      <c r="F596" s="11">
        <v>0</v>
      </c>
      <c r="G596" s="11">
        <v>13</v>
      </c>
      <c r="H596" s="11">
        <v>1</v>
      </c>
      <c r="I596" s="11">
        <v>0</v>
      </c>
      <c r="J596" s="11">
        <v>0.33333332999999998</v>
      </c>
    </row>
    <row r="597" spans="1:10" x14ac:dyDescent="0.45">
      <c r="A597" s="11">
        <v>842</v>
      </c>
      <c r="B597" s="11" t="s">
        <v>1346</v>
      </c>
      <c r="C597" s="11">
        <v>0.18</v>
      </c>
      <c r="D597" s="11">
        <v>0</v>
      </c>
      <c r="E597" s="11">
        <v>0</v>
      </c>
      <c r="F597" s="11">
        <v>0</v>
      </c>
      <c r="G597" s="11">
        <v>17</v>
      </c>
      <c r="H597" s="11">
        <v>1</v>
      </c>
      <c r="I597" s="11">
        <v>0</v>
      </c>
      <c r="J597" s="11">
        <v>0.33333332999999998</v>
      </c>
    </row>
    <row r="598" spans="1:10" x14ac:dyDescent="0.45">
      <c r="A598" s="11">
        <v>842</v>
      </c>
      <c r="B598" s="11" t="s">
        <v>1346</v>
      </c>
      <c r="C598" s="11">
        <v>0.18</v>
      </c>
      <c r="D598" s="11">
        <v>0</v>
      </c>
      <c r="E598" s="11">
        <v>0</v>
      </c>
      <c r="F598" s="11">
        <v>0</v>
      </c>
      <c r="G598" s="11">
        <v>28</v>
      </c>
      <c r="H598" s="11">
        <v>1</v>
      </c>
      <c r="I598" s="11">
        <v>0</v>
      </c>
      <c r="J598" s="11">
        <v>0.33333332999999998</v>
      </c>
    </row>
    <row r="599" spans="1:10" x14ac:dyDescent="0.45">
      <c r="A599" s="11">
        <v>843</v>
      </c>
      <c r="B599" s="11" t="s">
        <v>1347</v>
      </c>
      <c r="C599" s="11">
        <v>0.18</v>
      </c>
      <c r="D599" s="11">
        <v>0</v>
      </c>
      <c r="E599" s="11">
        <v>0</v>
      </c>
      <c r="F599" s="11">
        <v>0</v>
      </c>
      <c r="G599" s="11">
        <v>13</v>
      </c>
      <c r="H599" s="11">
        <v>1</v>
      </c>
      <c r="I599" s="11">
        <v>0</v>
      </c>
      <c r="J599" s="11">
        <v>0.33333332999999998</v>
      </c>
    </row>
    <row r="600" spans="1:10" x14ac:dyDescent="0.45">
      <c r="A600" s="11">
        <v>843</v>
      </c>
      <c r="B600" s="11" t="s">
        <v>1347</v>
      </c>
      <c r="C600" s="11">
        <v>0.18</v>
      </c>
      <c r="D600" s="11">
        <v>0</v>
      </c>
      <c r="E600" s="11">
        <v>0</v>
      </c>
      <c r="F600" s="11">
        <v>0</v>
      </c>
      <c r="G600" s="11">
        <v>17</v>
      </c>
      <c r="H600" s="11">
        <v>1</v>
      </c>
      <c r="I600" s="11">
        <v>0</v>
      </c>
      <c r="J600" s="11">
        <v>0.33333332999999998</v>
      </c>
    </row>
    <row r="601" spans="1:10" x14ac:dyDescent="0.45">
      <c r="A601" s="11">
        <v>843</v>
      </c>
      <c r="B601" s="11" t="s">
        <v>1347</v>
      </c>
      <c r="C601" s="11">
        <v>0.18</v>
      </c>
      <c r="D601" s="11">
        <v>0</v>
      </c>
      <c r="E601" s="11">
        <v>0</v>
      </c>
      <c r="F601" s="11">
        <v>0</v>
      </c>
      <c r="G601" s="11">
        <v>28</v>
      </c>
      <c r="H601" s="11">
        <v>1</v>
      </c>
      <c r="I601" s="11">
        <v>0</v>
      </c>
      <c r="J601" s="11">
        <v>0.33333332999999998</v>
      </c>
    </row>
    <row r="602" spans="1:10" x14ac:dyDescent="0.45">
      <c r="A602" s="11">
        <v>901</v>
      </c>
      <c r="B602" s="11" t="s">
        <v>1348</v>
      </c>
      <c r="C602" s="11">
        <v>0.1</v>
      </c>
      <c r="D602" s="11">
        <v>0</v>
      </c>
      <c r="E602" s="11">
        <v>0</v>
      </c>
      <c r="F602" s="11">
        <v>-1.4570000000000001</v>
      </c>
      <c r="G602" s="11">
        <v>19</v>
      </c>
      <c r="H602" s="11">
        <v>1</v>
      </c>
      <c r="I602" s="11">
        <v>0</v>
      </c>
      <c r="J602" s="11">
        <v>1</v>
      </c>
    </row>
    <row r="603" spans="1:10" x14ac:dyDescent="0.45">
      <c r="A603" s="11">
        <v>902</v>
      </c>
      <c r="B603" s="11" t="s">
        <v>1349</v>
      </c>
      <c r="C603" s="11">
        <v>0.1</v>
      </c>
      <c r="D603" s="11">
        <v>0</v>
      </c>
      <c r="E603" s="11">
        <v>0</v>
      </c>
      <c r="F603" s="11">
        <v>-1.4570000000000001</v>
      </c>
      <c r="G603" s="11">
        <v>19</v>
      </c>
      <c r="H603" s="11">
        <v>1</v>
      </c>
      <c r="I603" s="11">
        <v>0</v>
      </c>
      <c r="J603" s="11">
        <v>1</v>
      </c>
    </row>
    <row r="604" spans="1:10" x14ac:dyDescent="0.45">
      <c r="A604" s="11">
        <v>903</v>
      </c>
      <c r="B604" s="11" t="s">
        <v>1350</v>
      </c>
      <c r="C604" s="11">
        <v>0.1</v>
      </c>
      <c r="D604" s="11">
        <v>0</v>
      </c>
      <c r="E604" s="11">
        <v>0</v>
      </c>
      <c r="F604" s="11">
        <v>-1.4570000000000001</v>
      </c>
      <c r="G604" s="11">
        <v>19</v>
      </c>
      <c r="H604" s="11">
        <v>1</v>
      </c>
      <c r="I604" s="11">
        <v>0</v>
      </c>
      <c r="J604" s="11">
        <v>1</v>
      </c>
    </row>
    <row r="605" spans="1:10" x14ac:dyDescent="0.45">
      <c r="A605" s="11">
        <v>904</v>
      </c>
      <c r="B605" s="11" t="s">
        <v>1351</v>
      </c>
      <c r="C605" s="11">
        <v>0.1</v>
      </c>
      <c r="D605" s="11">
        <v>0</v>
      </c>
      <c r="E605" s="11">
        <v>0</v>
      </c>
      <c r="F605" s="11">
        <v>-1.4570000000000001</v>
      </c>
      <c r="G605" s="11">
        <v>19</v>
      </c>
      <c r="H605" s="11">
        <v>1</v>
      </c>
      <c r="I605" s="11">
        <v>0</v>
      </c>
      <c r="J605" s="11">
        <v>1</v>
      </c>
    </row>
    <row r="606" spans="1:10" x14ac:dyDescent="0.45">
      <c r="A606" s="11">
        <v>905</v>
      </c>
      <c r="B606" s="11" t="s">
        <v>1352</v>
      </c>
      <c r="C606" s="11">
        <v>0.1</v>
      </c>
      <c r="D606" s="11">
        <v>0</v>
      </c>
      <c r="E606" s="11">
        <v>0</v>
      </c>
      <c r="F606" s="11">
        <v>-1.4570000000000001</v>
      </c>
      <c r="G606" s="11">
        <v>19</v>
      </c>
      <c r="H606" s="11">
        <v>1</v>
      </c>
      <c r="I606" s="11">
        <v>0</v>
      </c>
      <c r="J606" s="11">
        <v>1</v>
      </c>
    </row>
    <row r="607" spans="1:10" x14ac:dyDescent="0.45">
      <c r="A607" s="11">
        <v>906</v>
      </c>
      <c r="B607" s="11" t="s">
        <v>1353</v>
      </c>
      <c r="C607" s="11">
        <v>0.1</v>
      </c>
      <c r="D607" s="11">
        <v>0</v>
      </c>
      <c r="E607" s="11">
        <v>0</v>
      </c>
      <c r="F607" s="11">
        <v>-1.4570000000000001</v>
      </c>
      <c r="G607" s="11">
        <v>19</v>
      </c>
      <c r="H607" s="11">
        <v>1</v>
      </c>
      <c r="I607" s="11">
        <v>0</v>
      </c>
      <c r="J607" s="11">
        <v>1</v>
      </c>
    </row>
    <row r="608" spans="1:10" x14ac:dyDescent="0.45">
      <c r="A608" s="11">
        <v>908</v>
      </c>
      <c r="B608" s="11" t="s">
        <v>1354</v>
      </c>
      <c r="C608" s="11">
        <v>0.18</v>
      </c>
      <c r="D608" s="11">
        <v>0</v>
      </c>
      <c r="E608" s="11">
        <v>0</v>
      </c>
      <c r="F608" s="11">
        <v>0</v>
      </c>
      <c r="G608" s="11">
        <v>13</v>
      </c>
      <c r="H608" s="11">
        <v>1</v>
      </c>
      <c r="I608" s="11">
        <v>0</v>
      </c>
      <c r="J608" s="11">
        <v>0.5</v>
      </c>
    </row>
    <row r="609" spans="1:10" x14ac:dyDescent="0.45">
      <c r="A609" s="11">
        <v>908</v>
      </c>
      <c r="B609" s="11" t="s">
        <v>1354</v>
      </c>
      <c r="C609" s="11">
        <v>0.18</v>
      </c>
      <c r="D609" s="11">
        <v>0</v>
      </c>
      <c r="E609" s="11">
        <v>0</v>
      </c>
      <c r="F609" s="11">
        <v>0</v>
      </c>
      <c r="G609" s="11">
        <v>17</v>
      </c>
      <c r="H609" s="11">
        <v>1</v>
      </c>
      <c r="I609" s="11">
        <v>0</v>
      </c>
      <c r="J609" s="11">
        <v>0.5</v>
      </c>
    </row>
    <row r="610" spans="1:10" x14ac:dyDescent="0.45">
      <c r="A610" s="11">
        <v>909</v>
      </c>
      <c r="B610" s="11" t="s">
        <v>1355</v>
      </c>
      <c r="C610" s="11">
        <v>0.18</v>
      </c>
      <c r="D610" s="11">
        <v>0</v>
      </c>
      <c r="E610" s="11">
        <v>0</v>
      </c>
      <c r="F610" s="11">
        <v>0</v>
      </c>
      <c r="G610" s="11">
        <v>13</v>
      </c>
      <c r="H610" s="11">
        <v>1</v>
      </c>
      <c r="I610" s="11">
        <v>0</v>
      </c>
      <c r="J610" s="11">
        <v>0.5</v>
      </c>
    </row>
    <row r="611" spans="1:10" x14ac:dyDescent="0.45">
      <c r="A611" s="11">
        <v>909</v>
      </c>
      <c r="B611" s="11" t="s">
        <v>1355</v>
      </c>
      <c r="C611" s="11">
        <v>0.18</v>
      </c>
      <c r="D611" s="11">
        <v>0</v>
      </c>
      <c r="E611" s="11">
        <v>0</v>
      </c>
      <c r="F611" s="11">
        <v>0</v>
      </c>
      <c r="G611" s="11">
        <v>17</v>
      </c>
      <c r="H611" s="11">
        <v>1</v>
      </c>
      <c r="I611" s="11">
        <v>0</v>
      </c>
      <c r="J611" s="11">
        <v>0.5</v>
      </c>
    </row>
    <row r="612" spans="1:10" x14ac:dyDescent="0.45">
      <c r="A612" s="11">
        <v>910</v>
      </c>
      <c r="B612" s="11" t="s">
        <v>1356</v>
      </c>
      <c r="C612" s="11">
        <v>0.18</v>
      </c>
      <c r="D612" s="11">
        <v>0</v>
      </c>
      <c r="E612" s="11">
        <v>0</v>
      </c>
      <c r="F612" s="11">
        <v>0</v>
      </c>
      <c r="G612" s="11">
        <v>19</v>
      </c>
      <c r="H612" s="11">
        <v>1</v>
      </c>
      <c r="I612" s="11">
        <v>0</v>
      </c>
      <c r="J612" s="11">
        <v>1</v>
      </c>
    </row>
    <row r="613" spans="1:10" x14ac:dyDescent="0.45">
      <c r="A613" s="11">
        <v>911</v>
      </c>
      <c r="B613" s="11" t="s">
        <v>1357</v>
      </c>
      <c r="C613" s="11">
        <v>0.18</v>
      </c>
      <c r="D613" s="11">
        <v>0</v>
      </c>
      <c r="E613" s="11">
        <v>0</v>
      </c>
      <c r="F613" s="11">
        <v>0</v>
      </c>
      <c r="G613" s="11">
        <v>19</v>
      </c>
      <c r="H613" s="11">
        <v>1</v>
      </c>
      <c r="I613" s="11">
        <v>0</v>
      </c>
      <c r="J613" s="11">
        <v>1</v>
      </c>
    </row>
    <row r="614" spans="1:10" x14ac:dyDescent="0.45">
      <c r="A614" s="11">
        <v>912</v>
      </c>
      <c r="B614" s="11" t="s">
        <v>1358</v>
      </c>
      <c r="C614" s="11">
        <v>0.18</v>
      </c>
      <c r="D614" s="11">
        <v>0</v>
      </c>
      <c r="E614" s="11">
        <v>0</v>
      </c>
      <c r="F614" s="11">
        <v>0</v>
      </c>
      <c r="G614" s="11">
        <v>19</v>
      </c>
      <c r="H614" s="11">
        <v>1</v>
      </c>
      <c r="I614" s="11">
        <v>0</v>
      </c>
      <c r="J614" s="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1F0D-F3B8-465A-B026-C3D8D8016023}">
  <sheetPr>
    <tabColor theme="7" tint="0.59999389629810485"/>
  </sheetPr>
  <dimension ref="A1:P1063"/>
  <sheetViews>
    <sheetView topLeftCell="A224" zoomScaleNormal="100" workbookViewId="0">
      <selection activeCell="Q239" sqref="Q239"/>
    </sheetView>
  </sheetViews>
  <sheetFormatPr defaultColWidth="8.73046875" defaultRowHeight="14.25" x14ac:dyDescent="0.45"/>
  <cols>
    <col min="3" max="3" width="9.1328125" style="2"/>
  </cols>
  <sheetData>
    <row r="1" spans="1:16" x14ac:dyDescent="0.45">
      <c r="A1" t="s">
        <v>911</v>
      </c>
      <c r="B1" t="s">
        <v>912</v>
      </c>
      <c r="C1" t="s">
        <v>913</v>
      </c>
      <c r="D1" s="2" t="s">
        <v>914</v>
      </c>
      <c r="E1" t="s">
        <v>915</v>
      </c>
      <c r="F1" t="s">
        <v>916</v>
      </c>
      <c r="G1" t="s">
        <v>917</v>
      </c>
      <c r="H1" t="s">
        <v>918</v>
      </c>
      <c r="I1" t="s">
        <v>919</v>
      </c>
      <c r="J1" t="s">
        <v>920</v>
      </c>
    </row>
    <row r="2" spans="1:16" x14ac:dyDescent="0.45">
      <c r="A2" s="9">
        <v>1</v>
      </c>
      <c r="B2" s="6" t="s">
        <v>1359</v>
      </c>
      <c r="C2" s="12">
        <v>0.15</v>
      </c>
      <c r="D2" s="10">
        <v>0</v>
      </c>
      <c r="E2" s="10">
        <v>1</v>
      </c>
      <c r="F2" s="6">
        <v>0</v>
      </c>
      <c r="G2" s="6">
        <v>24</v>
      </c>
      <c r="H2" s="6">
        <v>0</v>
      </c>
      <c r="I2" s="11">
        <v>0.2</v>
      </c>
      <c r="J2">
        <v>1</v>
      </c>
    </row>
    <row r="3" spans="1:16" x14ac:dyDescent="0.45">
      <c r="A3" s="9">
        <v>2</v>
      </c>
      <c r="B3" s="6" t="s">
        <v>1360</v>
      </c>
      <c r="C3" s="12">
        <v>0.15</v>
      </c>
      <c r="D3" s="10">
        <v>0</v>
      </c>
      <c r="E3" s="10">
        <v>1</v>
      </c>
      <c r="F3" s="6">
        <v>0</v>
      </c>
      <c r="G3" s="6">
        <v>24</v>
      </c>
      <c r="H3" s="6">
        <v>0</v>
      </c>
      <c r="I3" s="11">
        <v>0.2</v>
      </c>
      <c r="J3">
        <v>1</v>
      </c>
    </row>
    <row r="4" spans="1:16" x14ac:dyDescent="0.45">
      <c r="A4" s="9">
        <v>3</v>
      </c>
      <c r="B4" s="6" t="s">
        <v>1361</v>
      </c>
      <c r="C4" s="12">
        <v>0.15</v>
      </c>
      <c r="D4" s="10">
        <v>0</v>
      </c>
      <c r="E4" s="10">
        <v>1</v>
      </c>
      <c r="F4" s="6">
        <v>0</v>
      </c>
      <c r="G4" s="6">
        <v>1</v>
      </c>
      <c r="H4" s="6">
        <v>0</v>
      </c>
      <c r="I4" s="11">
        <v>0.2</v>
      </c>
      <c r="J4">
        <v>1</v>
      </c>
    </row>
    <row r="5" spans="1:16" x14ac:dyDescent="0.45">
      <c r="A5" s="9">
        <v>4</v>
      </c>
      <c r="B5" s="6" t="s">
        <v>1362</v>
      </c>
      <c r="C5" s="12">
        <v>0.15</v>
      </c>
      <c r="D5" s="10">
        <v>0</v>
      </c>
      <c r="E5" s="10">
        <v>1</v>
      </c>
      <c r="F5" s="6">
        <v>0</v>
      </c>
      <c r="G5" s="6">
        <v>24</v>
      </c>
      <c r="H5" s="6">
        <v>0</v>
      </c>
      <c r="I5" s="11">
        <v>0.2</v>
      </c>
      <c r="J5">
        <v>1</v>
      </c>
    </row>
    <row r="6" spans="1:16" x14ac:dyDescent="0.45">
      <c r="A6" s="9">
        <v>5</v>
      </c>
      <c r="B6" s="6" t="s">
        <v>1363</v>
      </c>
      <c r="C6" s="12">
        <v>0.15</v>
      </c>
      <c r="D6" s="10">
        <v>0</v>
      </c>
      <c r="E6" s="10">
        <v>1</v>
      </c>
      <c r="F6" s="6">
        <v>0</v>
      </c>
      <c r="G6" s="6">
        <v>24</v>
      </c>
      <c r="H6" s="6">
        <v>0</v>
      </c>
      <c r="I6" s="11">
        <v>0.2</v>
      </c>
      <c r="J6">
        <v>1</v>
      </c>
    </row>
    <row r="7" spans="1:16" x14ac:dyDescent="0.45">
      <c r="A7" s="9">
        <v>6</v>
      </c>
      <c r="B7" s="6" t="s">
        <v>1364</v>
      </c>
      <c r="C7" s="12">
        <v>0.15</v>
      </c>
      <c r="D7" s="10">
        <v>0</v>
      </c>
      <c r="E7" s="10">
        <v>0</v>
      </c>
      <c r="F7" s="6">
        <v>0</v>
      </c>
      <c r="G7" s="6">
        <v>35</v>
      </c>
      <c r="H7" s="6">
        <v>0</v>
      </c>
      <c r="I7" s="11">
        <v>0</v>
      </c>
      <c r="J7">
        <v>1</v>
      </c>
    </row>
    <row r="8" spans="1:16" x14ac:dyDescent="0.45">
      <c r="A8" s="9">
        <v>7</v>
      </c>
      <c r="B8" s="6" t="s">
        <v>1365</v>
      </c>
      <c r="C8" s="12">
        <v>0.15</v>
      </c>
      <c r="D8" s="10">
        <v>0</v>
      </c>
      <c r="E8" s="10">
        <v>0</v>
      </c>
      <c r="F8" s="6">
        <v>0</v>
      </c>
      <c r="G8" s="6">
        <v>10</v>
      </c>
      <c r="H8" s="6">
        <v>0</v>
      </c>
      <c r="I8" s="11">
        <v>0</v>
      </c>
      <c r="J8">
        <v>1</v>
      </c>
      <c r="P8" s="2"/>
    </row>
    <row r="9" spans="1:16" x14ac:dyDescent="0.45">
      <c r="A9" s="9">
        <v>8</v>
      </c>
      <c r="B9" s="6" t="s">
        <v>1366</v>
      </c>
      <c r="C9" s="12">
        <v>0.15</v>
      </c>
      <c r="D9" s="10">
        <v>0</v>
      </c>
      <c r="E9" s="10">
        <v>0</v>
      </c>
      <c r="F9" s="6">
        <v>0</v>
      </c>
      <c r="G9" s="6">
        <v>10</v>
      </c>
      <c r="H9" s="6">
        <v>0</v>
      </c>
      <c r="I9" s="11">
        <v>0</v>
      </c>
      <c r="J9">
        <v>1</v>
      </c>
    </row>
    <row r="10" spans="1:16" x14ac:dyDescent="0.45">
      <c r="A10" s="9">
        <v>9</v>
      </c>
      <c r="B10" s="6" t="s">
        <v>1367</v>
      </c>
      <c r="C10" s="12">
        <v>0.15</v>
      </c>
      <c r="D10" s="10">
        <v>0</v>
      </c>
      <c r="E10" s="10">
        <v>1</v>
      </c>
      <c r="F10" s="6">
        <v>0</v>
      </c>
      <c r="G10" s="6">
        <v>10</v>
      </c>
      <c r="H10" s="6">
        <v>0</v>
      </c>
      <c r="I10" s="11">
        <v>0.2</v>
      </c>
      <c r="J10">
        <v>1</v>
      </c>
    </row>
    <row r="11" spans="1:16" x14ac:dyDescent="0.45">
      <c r="A11" s="9">
        <v>10</v>
      </c>
      <c r="B11" s="6" t="s">
        <v>1368</v>
      </c>
      <c r="C11" s="12">
        <v>0.15</v>
      </c>
      <c r="D11" s="10">
        <v>0</v>
      </c>
      <c r="E11" s="10">
        <v>0</v>
      </c>
      <c r="F11" s="6">
        <v>0</v>
      </c>
      <c r="G11" s="6">
        <v>33</v>
      </c>
      <c r="H11" s="6">
        <v>0</v>
      </c>
      <c r="I11" s="11">
        <v>0</v>
      </c>
      <c r="J11">
        <v>1</v>
      </c>
    </row>
    <row r="12" spans="1:16" x14ac:dyDescent="0.45">
      <c r="A12" s="9">
        <v>11</v>
      </c>
      <c r="B12" s="6" t="s">
        <v>1369</v>
      </c>
      <c r="C12" s="12">
        <v>0.15</v>
      </c>
      <c r="D12" s="10">
        <v>0</v>
      </c>
      <c r="E12" s="10">
        <v>1</v>
      </c>
      <c r="F12" s="6">
        <v>0</v>
      </c>
      <c r="G12" s="6">
        <v>31</v>
      </c>
      <c r="H12" s="6">
        <v>0</v>
      </c>
      <c r="I12" s="11">
        <v>0</v>
      </c>
      <c r="J12">
        <v>1</v>
      </c>
    </row>
    <row r="13" spans="1:16" x14ac:dyDescent="0.45">
      <c r="A13" s="9">
        <v>12</v>
      </c>
      <c r="B13" s="6" t="s">
        <v>1370</v>
      </c>
      <c r="C13" s="12">
        <v>0.15</v>
      </c>
      <c r="D13" s="10">
        <v>0</v>
      </c>
      <c r="E13" s="10">
        <v>1</v>
      </c>
      <c r="F13" s="6">
        <v>0</v>
      </c>
      <c r="G13" s="6">
        <v>18</v>
      </c>
      <c r="H13" s="6">
        <v>0</v>
      </c>
      <c r="I13" s="11">
        <v>0.2</v>
      </c>
      <c r="J13">
        <v>1</v>
      </c>
    </row>
    <row r="14" spans="1:16" x14ac:dyDescent="0.45">
      <c r="A14" s="9">
        <v>13</v>
      </c>
      <c r="B14" s="6" t="s">
        <v>1371</v>
      </c>
      <c r="C14" s="12">
        <v>0.15</v>
      </c>
      <c r="D14" s="10">
        <v>0</v>
      </c>
      <c r="E14" s="10">
        <v>1</v>
      </c>
      <c r="F14" s="6">
        <v>0</v>
      </c>
      <c r="G14" s="6">
        <v>1</v>
      </c>
      <c r="H14" s="6">
        <v>0</v>
      </c>
      <c r="I14" s="11">
        <v>0.2</v>
      </c>
      <c r="J14">
        <v>1</v>
      </c>
    </row>
    <row r="15" spans="1:16" x14ac:dyDescent="0.45">
      <c r="A15" s="9">
        <v>14</v>
      </c>
      <c r="B15" s="6" t="s">
        <v>1372</v>
      </c>
      <c r="C15" s="12">
        <v>0.15</v>
      </c>
      <c r="D15" s="10">
        <v>0</v>
      </c>
      <c r="E15" s="10">
        <v>1</v>
      </c>
      <c r="F15" s="6">
        <v>0</v>
      </c>
      <c r="G15" s="6">
        <v>2</v>
      </c>
      <c r="H15" s="6">
        <v>0</v>
      </c>
      <c r="I15" s="11">
        <v>0.2</v>
      </c>
      <c r="J15">
        <v>1</v>
      </c>
    </row>
    <row r="16" spans="1:16" x14ac:dyDescent="0.45">
      <c r="A16" s="9">
        <v>15</v>
      </c>
      <c r="B16" s="6" t="s">
        <v>1373</v>
      </c>
      <c r="C16" s="12">
        <v>0.15</v>
      </c>
      <c r="D16" s="10">
        <v>0</v>
      </c>
      <c r="E16" s="10">
        <v>1</v>
      </c>
      <c r="F16" s="6">
        <v>0</v>
      </c>
      <c r="G16" s="6">
        <v>24</v>
      </c>
      <c r="H16" s="6">
        <v>0</v>
      </c>
      <c r="I16" s="11">
        <v>0.2</v>
      </c>
      <c r="J16">
        <v>1</v>
      </c>
    </row>
    <row r="17" spans="1:10" x14ac:dyDescent="0.45">
      <c r="A17" s="9">
        <v>68</v>
      </c>
      <c r="B17" s="6" t="s">
        <v>1374</v>
      </c>
      <c r="C17" s="12">
        <v>0.15</v>
      </c>
      <c r="D17" s="10">
        <v>0</v>
      </c>
      <c r="E17" s="10">
        <v>1</v>
      </c>
      <c r="F17" s="6">
        <v>0</v>
      </c>
      <c r="G17" s="6">
        <v>24</v>
      </c>
      <c r="H17" s="6">
        <v>0</v>
      </c>
      <c r="I17" s="11">
        <v>0.2</v>
      </c>
      <c r="J17">
        <v>1</v>
      </c>
    </row>
    <row r="18" spans="1:10" x14ac:dyDescent="0.45">
      <c r="A18" s="9">
        <v>69</v>
      </c>
      <c r="B18" s="6" t="s">
        <v>1375</v>
      </c>
      <c r="C18" s="12">
        <v>0.15</v>
      </c>
      <c r="D18" s="10">
        <v>0</v>
      </c>
      <c r="E18" s="10">
        <v>0</v>
      </c>
      <c r="F18" s="6">
        <v>0</v>
      </c>
      <c r="G18" s="6">
        <v>31</v>
      </c>
      <c r="H18" s="6">
        <v>0</v>
      </c>
      <c r="I18" s="11">
        <v>0</v>
      </c>
      <c r="J18">
        <v>1</v>
      </c>
    </row>
    <row r="19" spans="1:10" x14ac:dyDescent="0.45">
      <c r="A19" s="9">
        <v>70</v>
      </c>
      <c r="B19" s="6" t="s">
        <v>1376</v>
      </c>
      <c r="C19" s="12">
        <v>0.15</v>
      </c>
      <c r="D19" s="10">
        <v>0</v>
      </c>
      <c r="E19" s="10">
        <v>1</v>
      </c>
      <c r="F19" s="6">
        <v>0</v>
      </c>
      <c r="G19" s="6">
        <v>24</v>
      </c>
      <c r="H19" s="6">
        <v>0</v>
      </c>
      <c r="I19" s="11">
        <v>0.35</v>
      </c>
      <c r="J19">
        <v>1</v>
      </c>
    </row>
    <row r="20" spans="1:10" x14ac:dyDescent="0.45">
      <c r="A20" s="9">
        <v>71</v>
      </c>
      <c r="B20" s="6" t="s">
        <v>1377</v>
      </c>
      <c r="C20" s="12">
        <v>0.15</v>
      </c>
      <c r="D20" s="10">
        <v>0</v>
      </c>
      <c r="E20" s="10">
        <v>1</v>
      </c>
      <c r="F20" s="6">
        <v>0</v>
      </c>
      <c r="G20" s="6">
        <v>24</v>
      </c>
      <c r="H20" s="6">
        <v>0</v>
      </c>
      <c r="I20" s="11">
        <v>0.2</v>
      </c>
      <c r="J20">
        <v>1</v>
      </c>
    </row>
    <row r="21" spans="1:10" x14ac:dyDescent="0.45">
      <c r="A21" s="9">
        <v>72</v>
      </c>
      <c r="B21" s="6" t="s">
        <v>1378</v>
      </c>
      <c r="C21" s="12">
        <v>0</v>
      </c>
      <c r="D21" s="10">
        <v>1</v>
      </c>
      <c r="E21" s="10">
        <v>0</v>
      </c>
      <c r="F21" s="6">
        <v>0</v>
      </c>
      <c r="G21" s="6">
        <v>27</v>
      </c>
      <c r="H21" s="6">
        <v>0</v>
      </c>
      <c r="I21" s="11">
        <v>0</v>
      </c>
      <c r="J21">
        <v>1</v>
      </c>
    </row>
    <row r="22" spans="1:10" x14ac:dyDescent="0.45">
      <c r="A22" s="9">
        <v>73</v>
      </c>
      <c r="B22" s="6" t="s">
        <v>1379</v>
      </c>
      <c r="C22" s="12">
        <v>0.15</v>
      </c>
      <c r="D22" s="10">
        <v>0</v>
      </c>
      <c r="E22" s="10">
        <v>0</v>
      </c>
      <c r="F22" s="6">
        <v>0</v>
      </c>
      <c r="G22" s="6">
        <v>11</v>
      </c>
      <c r="H22" s="6">
        <v>0</v>
      </c>
      <c r="I22" s="11">
        <v>0</v>
      </c>
      <c r="J22">
        <v>1</v>
      </c>
    </row>
    <row r="23" spans="1:10" x14ac:dyDescent="0.45">
      <c r="A23" s="9">
        <v>74</v>
      </c>
      <c r="B23" s="6" t="s">
        <v>1380</v>
      </c>
      <c r="C23" s="12">
        <v>0.15</v>
      </c>
      <c r="D23" s="10">
        <v>0</v>
      </c>
      <c r="E23" s="10">
        <v>0</v>
      </c>
      <c r="F23" s="6">
        <v>0</v>
      </c>
      <c r="G23" s="6">
        <v>11</v>
      </c>
      <c r="H23" s="6">
        <v>0</v>
      </c>
      <c r="I23" s="11">
        <v>0</v>
      </c>
      <c r="J23">
        <v>1</v>
      </c>
    </row>
    <row r="24" spans="1:10" x14ac:dyDescent="0.45">
      <c r="A24" s="9">
        <v>75</v>
      </c>
      <c r="B24" s="6" t="s">
        <v>1381</v>
      </c>
      <c r="C24" s="12">
        <v>0.15</v>
      </c>
      <c r="D24" s="10">
        <v>0</v>
      </c>
      <c r="E24" s="10">
        <v>0</v>
      </c>
      <c r="F24" s="6">
        <v>0</v>
      </c>
      <c r="G24" s="6">
        <v>35</v>
      </c>
      <c r="H24" s="6">
        <v>0</v>
      </c>
      <c r="I24" s="11">
        <v>0</v>
      </c>
      <c r="J24">
        <v>1</v>
      </c>
    </row>
    <row r="25" spans="1:10" x14ac:dyDescent="0.45">
      <c r="A25" s="9">
        <v>76</v>
      </c>
      <c r="B25" s="6" t="s">
        <v>1382</v>
      </c>
      <c r="C25" s="12">
        <v>0.15</v>
      </c>
      <c r="D25" s="10">
        <v>0</v>
      </c>
      <c r="E25" s="10">
        <v>1</v>
      </c>
      <c r="F25" s="6">
        <v>0</v>
      </c>
      <c r="G25" s="6">
        <v>24</v>
      </c>
      <c r="H25" s="6">
        <v>0</v>
      </c>
      <c r="I25" s="11">
        <v>0.2</v>
      </c>
      <c r="J25">
        <v>1</v>
      </c>
    </row>
    <row r="26" spans="1:10" x14ac:dyDescent="0.45">
      <c r="A26" s="9">
        <v>77</v>
      </c>
      <c r="B26" s="6" t="s">
        <v>1383</v>
      </c>
      <c r="C26" s="12">
        <v>0.15</v>
      </c>
      <c r="D26" s="10">
        <v>0</v>
      </c>
      <c r="E26" s="10">
        <v>1</v>
      </c>
      <c r="F26" s="6">
        <v>0</v>
      </c>
      <c r="G26" s="6">
        <v>10</v>
      </c>
      <c r="H26" s="6">
        <v>0</v>
      </c>
      <c r="I26" s="11">
        <v>0.2</v>
      </c>
      <c r="J26">
        <v>1</v>
      </c>
    </row>
    <row r="27" spans="1:10" x14ac:dyDescent="0.45">
      <c r="A27" s="9">
        <v>78</v>
      </c>
      <c r="B27" s="6" t="s">
        <v>1384</v>
      </c>
      <c r="C27" s="12">
        <v>0.15</v>
      </c>
      <c r="D27" s="10">
        <v>0</v>
      </c>
      <c r="E27" s="10">
        <v>0</v>
      </c>
      <c r="F27" s="6">
        <v>0</v>
      </c>
      <c r="G27" s="6">
        <v>31</v>
      </c>
      <c r="H27" s="6">
        <v>0</v>
      </c>
      <c r="I27" s="11">
        <v>0</v>
      </c>
      <c r="J27">
        <v>1</v>
      </c>
    </row>
    <row r="28" spans="1:10" x14ac:dyDescent="0.45">
      <c r="A28" s="9">
        <v>79</v>
      </c>
      <c r="B28" s="6" t="s">
        <v>1385</v>
      </c>
      <c r="C28" s="12">
        <v>0.15</v>
      </c>
      <c r="D28" s="10">
        <v>0</v>
      </c>
      <c r="E28" s="10">
        <v>0</v>
      </c>
      <c r="F28" s="6">
        <v>0</v>
      </c>
      <c r="G28" s="6">
        <v>28</v>
      </c>
      <c r="H28" s="6">
        <v>0</v>
      </c>
      <c r="I28" s="11">
        <v>0</v>
      </c>
      <c r="J28">
        <v>1</v>
      </c>
    </row>
    <row r="29" spans="1:10" x14ac:dyDescent="0.45">
      <c r="A29" s="9">
        <v>80</v>
      </c>
      <c r="B29" s="6" t="s">
        <v>1386</v>
      </c>
      <c r="C29" s="12">
        <v>0.15</v>
      </c>
      <c r="D29" s="10">
        <v>0</v>
      </c>
      <c r="E29" s="10">
        <v>0</v>
      </c>
      <c r="F29" s="6">
        <v>0</v>
      </c>
      <c r="G29" s="6">
        <v>33</v>
      </c>
      <c r="H29" s="6">
        <v>0</v>
      </c>
      <c r="I29" s="11">
        <v>0.2</v>
      </c>
      <c r="J29">
        <v>1</v>
      </c>
    </row>
    <row r="30" spans="1:10" x14ac:dyDescent="0.45">
      <c r="A30" s="9">
        <v>81</v>
      </c>
      <c r="B30" s="6" t="s">
        <v>1387</v>
      </c>
      <c r="C30" s="12">
        <v>0.15</v>
      </c>
      <c r="D30" s="10">
        <v>0</v>
      </c>
      <c r="E30" s="10">
        <v>1</v>
      </c>
      <c r="F30" s="6">
        <v>0</v>
      </c>
      <c r="G30" s="6">
        <v>23</v>
      </c>
      <c r="H30" s="6">
        <v>0</v>
      </c>
      <c r="I30" s="11">
        <v>0.2</v>
      </c>
      <c r="J30">
        <v>1</v>
      </c>
    </row>
    <row r="31" spans="1:10" x14ac:dyDescent="0.45">
      <c r="A31" s="9">
        <v>82</v>
      </c>
      <c r="B31" s="6" t="s">
        <v>1388</v>
      </c>
      <c r="C31" s="12">
        <v>0.15</v>
      </c>
      <c r="D31" s="10">
        <v>0</v>
      </c>
      <c r="E31" s="10">
        <v>1</v>
      </c>
      <c r="F31" s="6">
        <v>0</v>
      </c>
      <c r="G31" s="6">
        <v>14</v>
      </c>
      <c r="H31" s="6">
        <v>0</v>
      </c>
      <c r="I31" s="11">
        <v>0.2</v>
      </c>
      <c r="J31">
        <v>1</v>
      </c>
    </row>
    <row r="32" spans="1:10" x14ac:dyDescent="0.45">
      <c r="A32" s="9">
        <v>83</v>
      </c>
      <c r="B32" s="6" t="s">
        <v>1389</v>
      </c>
      <c r="C32" s="12">
        <v>0</v>
      </c>
      <c r="D32" s="10">
        <v>1</v>
      </c>
      <c r="E32" s="10">
        <v>1</v>
      </c>
      <c r="F32" s="6">
        <v>0</v>
      </c>
      <c r="G32" s="6">
        <v>1</v>
      </c>
      <c r="H32" s="6">
        <v>0</v>
      </c>
      <c r="I32" s="11">
        <v>0.2</v>
      </c>
      <c r="J32">
        <v>1</v>
      </c>
    </row>
    <row r="33" spans="1:10" x14ac:dyDescent="0.45">
      <c r="A33" s="9">
        <v>84</v>
      </c>
      <c r="B33" s="6" t="s">
        <v>1390</v>
      </c>
      <c r="C33" s="12">
        <v>0.15</v>
      </c>
      <c r="D33" s="10">
        <v>0</v>
      </c>
      <c r="E33" s="10">
        <v>0</v>
      </c>
      <c r="F33" s="6">
        <v>0</v>
      </c>
      <c r="G33" s="6">
        <v>31</v>
      </c>
      <c r="H33" s="6">
        <v>0</v>
      </c>
      <c r="I33" s="11">
        <v>0</v>
      </c>
      <c r="J33">
        <v>1</v>
      </c>
    </row>
    <row r="34" spans="1:10" x14ac:dyDescent="0.45">
      <c r="A34" s="9">
        <v>85</v>
      </c>
      <c r="B34" s="6" t="s">
        <v>1391</v>
      </c>
      <c r="C34" s="12">
        <v>0.15</v>
      </c>
      <c r="D34" s="10">
        <v>0</v>
      </c>
      <c r="E34" s="10">
        <v>0</v>
      </c>
      <c r="F34" s="6">
        <v>0</v>
      </c>
      <c r="G34" s="6">
        <v>24</v>
      </c>
      <c r="H34" s="6">
        <v>0</v>
      </c>
      <c r="I34" s="11">
        <v>0.2</v>
      </c>
      <c r="J34">
        <v>1</v>
      </c>
    </row>
    <row r="35" spans="1:10" x14ac:dyDescent="0.45">
      <c r="A35" s="9">
        <v>86</v>
      </c>
      <c r="B35" s="6" t="s">
        <v>1392</v>
      </c>
      <c r="C35" s="12">
        <v>0</v>
      </c>
      <c r="D35" s="10">
        <v>1</v>
      </c>
      <c r="E35" s="10">
        <v>1</v>
      </c>
      <c r="F35" s="6">
        <v>0</v>
      </c>
      <c r="G35" s="6">
        <v>1</v>
      </c>
      <c r="H35" s="6">
        <v>0</v>
      </c>
      <c r="I35" s="11">
        <v>0</v>
      </c>
      <c r="J35">
        <v>1</v>
      </c>
    </row>
    <row r="36" spans="1:10" x14ac:dyDescent="0.45">
      <c r="A36" s="9">
        <v>87</v>
      </c>
      <c r="B36" s="6" t="s">
        <v>1393</v>
      </c>
      <c r="C36" s="12">
        <v>0.15</v>
      </c>
      <c r="D36" s="10">
        <v>0</v>
      </c>
      <c r="E36" s="10">
        <v>1</v>
      </c>
      <c r="F36" s="6">
        <v>0</v>
      </c>
      <c r="G36" s="6">
        <v>10</v>
      </c>
      <c r="H36" s="6">
        <v>0</v>
      </c>
      <c r="I36" s="11">
        <v>0.2</v>
      </c>
      <c r="J36">
        <v>1</v>
      </c>
    </row>
    <row r="37" spans="1:10" x14ac:dyDescent="0.45">
      <c r="A37" s="9">
        <v>88</v>
      </c>
      <c r="B37" s="6" t="s">
        <v>1394</v>
      </c>
      <c r="C37" s="12">
        <v>0.15</v>
      </c>
      <c r="D37" s="10">
        <v>0</v>
      </c>
      <c r="E37" s="10">
        <v>1</v>
      </c>
      <c r="F37" s="6">
        <v>0</v>
      </c>
      <c r="G37" s="6">
        <v>10</v>
      </c>
      <c r="H37" s="6">
        <v>0</v>
      </c>
      <c r="I37" s="11">
        <v>0.2</v>
      </c>
      <c r="J37">
        <v>1</v>
      </c>
    </row>
    <row r="38" spans="1:10" x14ac:dyDescent="0.45">
      <c r="A38" s="9">
        <v>89</v>
      </c>
      <c r="B38" s="6" t="s">
        <v>1395</v>
      </c>
      <c r="C38" s="12">
        <v>0.15</v>
      </c>
      <c r="D38" s="10">
        <v>0</v>
      </c>
      <c r="E38" s="10">
        <v>1</v>
      </c>
      <c r="F38" s="6">
        <v>0</v>
      </c>
      <c r="G38" s="6">
        <v>19</v>
      </c>
      <c r="H38" s="6">
        <v>0</v>
      </c>
      <c r="I38" s="11">
        <v>0.2</v>
      </c>
      <c r="J38">
        <v>1</v>
      </c>
    </row>
    <row r="39" spans="1:10" x14ac:dyDescent="0.45">
      <c r="A39" s="9">
        <v>90</v>
      </c>
      <c r="B39" s="6" t="s">
        <v>1396</v>
      </c>
      <c r="C39" s="12">
        <v>0.15</v>
      </c>
      <c r="D39" s="10">
        <v>0</v>
      </c>
      <c r="E39" s="10">
        <v>1</v>
      </c>
      <c r="F39" s="6">
        <v>0</v>
      </c>
      <c r="G39" s="6">
        <v>19</v>
      </c>
      <c r="H39" s="6">
        <v>0</v>
      </c>
      <c r="I39" s="11">
        <v>0.2</v>
      </c>
      <c r="J39">
        <v>1</v>
      </c>
    </row>
    <row r="40" spans="1:10" x14ac:dyDescent="0.45">
      <c r="A40" s="9">
        <v>91</v>
      </c>
      <c r="B40" s="6" t="s">
        <v>1397</v>
      </c>
      <c r="C40" s="12">
        <v>0.15</v>
      </c>
      <c r="D40" s="10">
        <v>0</v>
      </c>
      <c r="E40" s="10">
        <v>1</v>
      </c>
      <c r="F40" s="6">
        <v>0</v>
      </c>
      <c r="G40" s="6">
        <v>24</v>
      </c>
      <c r="H40" s="6">
        <v>0</v>
      </c>
      <c r="I40" s="11">
        <v>0.2</v>
      </c>
      <c r="J40">
        <v>1</v>
      </c>
    </row>
    <row r="41" spans="1:10" x14ac:dyDescent="0.45">
      <c r="A41" s="9">
        <v>92</v>
      </c>
      <c r="B41" s="6" t="s">
        <v>1398</v>
      </c>
      <c r="C41" s="12">
        <v>0</v>
      </c>
      <c r="D41" s="10">
        <v>1</v>
      </c>
      <c r="E41" s="10">
        <v>1</v>
      </c>
      <c r="F41" s="6">
        <v>0</v>
      </c>
      <c r="G41" s="6">
        <v>31</v>
      </c>
      <c r="H41" s="6">
        <v>0</v>
      </c>
      <c r="I41" s="11">
        <v>0</v>
      </c>
      <c r="J41">
        <v>1</v>
      </c>
    </row>
    <row r="42" spans="1:10" x14ac:dyDescent="0.45">
      <c r="A42" s="9">
        <v>93</v>
      </c>
      <c r="B42" s="6" t="s">
        <v>1399</v>
      </c>
      <c r="C42" s="12">
        <v>0</v>
      </c>
      <c r="D42" s="10">
        <v>1</v>
      </c>
      <c r="E42" s="10">
        <v>0</v>
      </c>
      <c r="F42" s="6">
        <v>0</v>
      </c>
      <c r="G42" s="6">
        <v>1</v>
      </c>
      <c r="H42" s="6">
        <v>0</v>
      </c>
      <c r="I42" s="11">
        <v>0</v>
      </c>
      <c r="J42">
        <v>1</v>
      </c>
    </row>
    <row r="43" spans="1:10" x14ac:dyDescent="0.45">
      <c r="A43" s="9">
        <v>94</v>
      </c>
      <c r="B43" s="6" t="s">
        <v>1400</v>
      </c>
      <c r="C43" s="12">
        <v>0</v>
      </c>
      <c r="D43" s="10">
        <v>1</v>
      </c>
      <c r="E43" s="10">
        <v>0</v>
      </c>
      <c r="F43" s="6">
        <v>0</v>
      </c>
      <c r="G43" s="6">
        <v>1</v>
      </c>
      <c r="H43" s="6">
        <v>0</v>
      </c>
      <c r="I43" s="11">
        <v>0</v>
      </c>
      <c r="J43">
        <v>1</v>
      </c>
    </row>
    <row r="44" spans="1:10" x14ac:dyDescent="0.45">
      <c r="A44" s="9">
        <v>95</v>
      </c>
      <c r="B44" s="6" t="s">
        <v>1401</v>
      </c>
      <c r="C44" s="12">
        <v>0</v>
      </c>
      <c r="D44" s="10">
        <v>1</v>
      </c>
      <c r="E44" s="10">
        <v>0</v>
      </c>
      <c r="F44" s="6">
        <v>0</v>
      </c>
      <c r="G44" s="6">
        <v>31</v>
      </c>
      <c r="H44" s="6">
        <v>0</v>
      </c>
      <c r="I44" s="11">
        <v>0</v>
      </c>
      <c r="J44">
        <v>1</v>
      </c>
    </row>
    <row r="45" spans="1:10" x14ac:dyDescent="0.45">
      <c r="A45" s="9">
        <v>96</v>
      </c>
      <c r="B45" s="6" t="s">
        <v>1402</v>
      </c>
      <c r="C45" s="12">
        <v>0</v>
      </c>
      <c r="D45" s="10">
        <v>1</v>
      </c>
      <c r="E45" s="10">
        <v>0</v>
      </c>
      <c r="F45" s="6">
        <v>0</v>
      </c>
      <c r="G45" s="6">
        <v>31</v>
      </c>
      <c r="H45" s="6">
        <v>0</v>
      </c>
      <c r="I45" s="11">
        <v>0</v>
      </c>
      <c r="J45">
        <v>1</v>
      </c>
    </row>
    <row r="46" spans="1:10" x14ac:dyDescent="0.45">
      <c r="A46" s="9">
        <v>97</v>
      </c>
      <c r="B46" s="6" t="s">
        <v>1403</v>
      </c>
      <c r="C46" s="12">
        <v>0</v>
      </c>
      <c r="D46" s="10">
        <v>1</v>
      </c>
      <c r="E46" s="10">
        <v>1</v>
      </c>
      <c r="F46" s="6">
        <v>0</v>
      </c>
      <c r="G46" s="6">
        <v>31</v>
      </c>
      <c r="H46" s="6">
        <v>0</v>
      </c>
      <c r="I46" s="11">
        <v>0</v>
      </c>
      <c r="J46">
        <v>1</v>
      </c>
    </row>
    <row r="47" spans="1:10" x14ac:dyDescent="0.45">
      <c r="A47" s="9">
        <v>98</v>
      </c>
      <c r="B47" s="6" t="s">
        <v>1404</v>
      </c>
      <c r="C47" s="12">
        <v>0.15</v>
      </c>
      <c r="D47" s="10">
        <v>0</v>
      </c>
      <c r="E47" s="10">
        <v>1</v>
      </c>
      <c r="F47" s="6">
        <v>0</v>
      </c>
      <c r="G47" s="6">
        <v>1</v>
      </c>
      <c r="H47" s="6">
        <v>0</v>
      </c>
      <c r="I47" s="11">
        <v>0</v>
      </c>
      <c r="J47">
        <v>1</v>
      </c>
    </row>
    <row r="48" spans="1:10" x14ac:dyDescent="0.45">
      <c r="A48" s="9">
        <v>99</v>
      </c>
      <c r="B48" s="6" t="s">
        <v>1405</v>
      </c>
      <c r="C48" s="12">
        <v>0.15</v>
      </c>
      <c r="D48" s="10">
        <v>0</v>
      </c>
      <c r="E48" s="10">
        <v>1</v>
      </c>
      <c r="F48" s="6">
        <v>0</v>
      </c>
      <c r="G48" s="6">
        <v>24</v>
      </c>
      <c r="H48" s="6">
        <v>0</v>
      </c>
      <c r="I48" s="11">
        <v>0.2</v>
      </c>
      <c r="J48">
        <v>1</v>
      </c>
    </row>
    <row r="49" spans="1:10" x14ac:dyDescent="0.45">
      <c r="A49" s="9">
        <v>100</v>
      </c>
      <c r="B49" s="6" t="s">
        <v>1406</v>
      </c>
      <c r="C49" s="12">
        <v>0.15</v>
      </c>
      <c r="D49" s="10">
        <v>0</v>
      </c>
      <c r="E49" s="10">
        <v>1</v>
      </c>
      <c r="F49" s="6">
        <v>0</v>
      </c>
      <c r="G49" s="6">
        <v>10</v>
      </c>
      <c r="H49" s="6">
        <v>0</v>
      </c>
      <c r="I49" s="11">
        <v>0.2</v>
      </c>
      <c r="J49">
        <v>1</v>
      </c>
    </row>
    <row r="50" spans="1:10" x14ac:dyDescent="0.45">
      <c r="A50" s="9">
        <v>101</v>
      </c>
      <c r="B50" s="6" t="s">
        <v>1407</v>
      </c>
      <c r="C50" s="12">
        <v>0.15</v>
      </c>
      <c r="D50" s="10">
        <v>0</v>
      </c>
      <c r="E50" s="10">
        <v>1</v>
      </c>
      <c r="F50" s="6">
        <v>0</v>
      </c>
      <c r="G50" s="6">
        <v>10</v>
      </c>
      <c r="H50" s="6">
        <v>0</v>
      </c>
      <c r="I50" s="11">
        <v>0.2</v>
      </c>
      <c r="J50">
        <v>1</v>
      </c>
    </row>
    <row r="51" spans="1:10" x14ac:dyDescent="0.45">
      <c r="A51" s="9">
        <v>102</v>
      </c>
      <c r="B51" s="6" t="s">
        <v>1408</v>
      </c>
      <c r="C51" s="12">
        <v>0.15</v>
      </c>
      <c r="D51" s="10">
        <v>0</v>
      </c>
      <c r="E51" s="10">
        <v>1</v>
      </c>
      <c r="F51" s="6">
        <v>0</v>
      </c>
      <c r="G51" s="6">
        <v>23</v>
      </c>
      <c r="H51" s="6">
        <v>0</v>
      </c>
      <c r="I51" s="11">
        <v>0.2</v>
      </c>
      <c r="J51">
        <v>1</v>
      </c>
    </row>
    <row r="52" spans="1:10" x14ac:dyDescent="0.45">
      <c r="A52" s="9">
        <v>103</v>
      </c>
      <c r="B52" s="6" t="s">
        <v>1409</v>
      </c>
      <c r="C52" s="12">
        <v>0.15</v>
      </c>
      <c r="D52" s="10">
        <v>0</v>
      </c>
      <c r="E52" s="10">
        <v>1</v>
      </c>
      <c r="F52" s="6">
        <v>0</v>
      </c>
      <c r="G52" s="6">
        <v>11</v>
      </c>
      <c r="H52" s="6">
        <v>0</v>
      </c>
      <c r="I52" s="11">
        <v>0.2</v>
      </c>
      <c r="J52">
        <v>1</v>
      </c>
    </row>
    <row r="53" spans="1:10" x14ac:dyDescent="0.45">
      <c r="A53" s="9">
        <v>104</v>
      </c>
      <c r="B53" s="6" t="s">
        <v>1410</v>
      </c>
      <c r="C53" s="12">
        <v>0.15</v>
      </c>
      <c r="D53" s="10">
        <v>0</v>
      </c>
      <c r="E53" s="10">
        <v>0</v>
      </c>
      <c r="F53" s="6">
        <v>0</v>
      </c>
      <c r="G53" s="6">
        <v>7</v>
      </c>
      <c r="H53" s="6">
        <v>0</v>
      </c>
      <c r="I53" s="11">
        <v>0</v>
      </c>
      <c r="J53">
        <v>1</v>
      </c>
    </row>
    <row r="54" spans="1:10" x14ac:dyDescent="0.45">
      <c r="A54" s="9">
        <v>105</v>
      </c>
      <c r="B54" s="6" t="s">
        <v>1411</v>
      </c>
      <c r="C54" s="12">
        <v>0.15</v>
      </c>
      <c r="D54" s="10">
        <v>0</v>
      </c>
      <c r="E54" s="10">
        <v>0</v>
      </c>
      <c r="F54" s="6">
        <v>0</v>
      </c>
      <c r="G54" s="6">
        <v>7</v>
      </c>
      <c r="H54" s="6">
        <v>0</v>
      </c>
      <c r="I54" s="11">
        <v>0</v>
      </c>
      <c r="J54">
        <v>1</v>
      </c>
    </row>
    <row r="55" spans="1:10" x14ac:dyDescent="0.45">
      <c r="A55" s="9">
        <v>106</v>
      </c>
      <c r="B55" s="6" t="s">
        <v>1412</v>
      </c>
      <c r="C55" s="12">
        <v>0.15</v>
      </c>
      <c r="D55" s="10">
        <v>0</v>
      </c>
      <c r="E55" s="10">
        <v>0</v>
      </c>
      <c r="F55" s="6">
        <v>0</v>
      </c>
      <c r="G55" s="6">
        <v>7</v>
      </c>
      <c r="H55" s="6">
        <v>0</v>
      </c>
      <c r="I55" s="11">
        <v>0</v>
      </c>
      <c r="J55">
        <v>1</v>
      </c>
    </row>
    <row r="56" spans="1:10" x14ac:dyDescent="0.45">
      <c r="A56" s="9">
        <v>107</v>
      </c>
      <c r="B56" s="6" t="s">
        <v>1413</v>
      </c>
      <c r="C56" s="12">
        <v>0.15</v>
      </c>
      <c r="D56" s="10">
        <v>0</v>
      </c>
      <c r="E56" s="10">
        <v>0</v>
      </c>
      <c r="F56" s="6">
        <v>0</v>
      </c>
      <c r="G56" s="6">
        <v>7</v>
      </c>
      <c r="H56" s="6">
        <v>0</v>
      </c>
      <c r="I56" s="11">
        <v>0</v>
      </c>
      <c r="J56">
        <v>1</v>
      </c>
    </row>
    <row r="57" spans="1:10" x14ac:dyDescent="0.45">
      <c r="A57" s="9">
        <v>108</v>
      </c>
      <c r="B57" s="6" t="s">
        <v>1414</v>
      </c>
      <c r="C57" s="12">
        <v>0.15</v>
      </c>
      <c r="D57" s="10">
        <v>0</v>
      </c>
      <c r="E57" s="10">
        <v>1</v>
      </c>
      <c r="F57" s="6">
        <v>0</v>
      </c>
      <c r="G57" s="6">
        <v>7</v>
      </c>
      <c r="H57" s="6">
        <v>0</v>
      </c>
      <c r="I57" s="11">
        <v>0</v>
      </c>
      <c r="J57">
        <v>1</v>
      </c>
    </row>
    <row r="58" spans="1:10" x14ac:dyDescent="0.45">
      <c r="A58" s="9">
        <v>109</v>
      </c>
      <c r="B58" s="6" t="s">
        <v>1415</v>
      </c>
      <c r="C58" s="12">
        <v>0.15</v>
      </c>
      <c r="D58" s="10">
        <v>0</v>
      </c>
      <c r="E58" s="10">
        <v>1</v>
      </c>
      <c r="F58" s="6">
        <v>0</v>
      </c>
      <c r="G58" s="6">
        <v>7</v>
      </c>
      <c r="H58" s="6">
        <v>0</v>
      </c>
      <c r="I58" s="11">
        <v>0.35</v>
      </c>
      <c r="J58">
        <v>1</v>
      </c>
    </row>
    <row r="59" spans="1:10" x14ac:dyDescent="0.45">
      <c r="A59" s="9">
        <v>110</v>
      </c>
      <c r="B59" s="6" t="s">
        <v>1416</v>
      </c>
      <c r="C59" s="12">
        <v>0.15</v>
      </c>
      <c r="D59" s="10">
        <v>0</v>
      </c>
      <c r="E59" s="10">
        <v>1</v>
      </c>
      <c r="F59" s="6">
        <v>0</v>
      </c>
      <c r="G59" s="6">
        <v>23</v>
      </c>
      <c r="H59" s="6">
        <v>0</v>
      </c>
      <c r="I59" s="11">
        <v>0.2</v>
      </c>
      <c r="J59">
        <v>1</v>
      </c>
    </row>
    <row r="60" spans="1:10" x14ac:dyDescent="0.45">
      <c r="A60" s="9">
        <v>111</v>
      </c>
      <c r="B60" s="6" t="s">
        <v>1417</v>
      </c>
      <c r="C60" s="12">
        <v>0.15</v>
      </c>
      <c r="D60" s="10">
        <v>0</v>
      </c>
      <c r="E60" s="10">
        <v>0</v>
      </c>
      <c r="F60" s="6">
        <v>0</v>
      </c>
      <c r="G60" s="6">
        <v>7</v>
      </c>
      <c r="H60" s="6">
        <v>0</v>
      </c>
      <c r="I60" s="11">
        <v>0</v>
      </c>
      <c r="J60">
        <v>1</v>
      </c>
    </row>
    <row r="61" spans="1:10" x14ac:dyDescent="0.45">
      <c r="A61" s="9">
        <v>112</v>
      </c>
      <c r="B61" s="6" t="s">
        <v>1418</v>
      </c>
      <c r="C61" s="12">
        <v>0.15</v>
      </c>
      <c r="D61" s="10">
        <v>0</v>
      </c>
      <c r="E61" s="10">
        <v>1</v>
      </c>
      <c r="F61" s="6">
        <v>0</v>
      </c>
      <c r="G61" s="6">
        <v>21</v>
      </c>
      <c r="H61" s="6">
        <v>0</v>
      </c>
      <c r="I61" s="11">
        <v>0.2</v>
      </c>
      <c r="J61">
        <v>1</v>
      </c>
    </row>
    <row r="62" spans="1:10" x14ac:dyDescent="0.45">
      <c r="A62" s="9">
        <v>113</v>
      </c>
      <c r="B62" s="6" t="s">
        <v>1419</v>
      </c>
      <c r="C62" s="12">
        <v>0.15</v>
      </c>
      <c r="D62" s="10">
        <v>0</v>
      </c>
      <c r="E62" s="10">
        <v>1</v>
      </c>
      <c r="F62" s="6">
        <v>0</v>
      </c>
      <c r="G62" s="6">
        <v>21</v>
      </c>
      <c r="H62" s="6">
        <v>0</v>
      </c>
      <c r="I62" s="11">
        <v>0.2</v>
      </c>
      <c r="J62">
        <v>1</v>
      </c>
    </row>
    <row r="63" spans="1:10" x14ac:dyDescent="0.45">
      <c r="A63" s="9">
        <v>114</v>
      </c>
      <c r="B63" s="6" t="s">
        <v>1420</v>
      </c>
      <c r="C63" s="12">
        <v>0.15</v>
      </c>
      <c r="D63" s="10">
        <v>0</v>
      </c>
      <c r="E63" s="10">
        <v>1</v>
      </c>
      <c r="F63" s="6">
        <v>0</v>
      </c>
      <c r="G63" s="6">
        <v>24</v>
      </c>
      <c r="H63" s="6">
        <v>0</v>
      </c>
      <c r="I63" s="11">
        <v>0.2</v>
      </c>
      <c r="J63">
        <v>1</v>
      </c>
    </row>
    <row r="64" spans="1:10" x14ac:dyDescent="0.45">
      <c r="A64" s="9">
        <v>115</v>
      </c>
      <c r="B64" s="6" t="s">
        <v>1421</v>
      </c>
      <c r="C64" s="12">
        <v>0.15</v>
      </c>
      <c r="D64" s="10">
        <v>0</v>
      </c>
      <c r="E64" s="10">
        <v>1</v>
      </c>
      <c r="F64" s="6">
        <v>0</v>
      </c>
      <c r="G64" s="6">
        <v>24</v>
      </c>
      <c r="H64" s="6">
        <v>0</v>
      </c>
      <c r="I64" s="11">
        <v>0.2</v>
      </c>
      <c r="J64">
        <v>1</v>
      </c>
    </row>
    <row r="65" spans="1:10" x14ac:dyDescent="0.45">
      <c r="A65" s="9">
        <v>116</v>
      </c>
      <c r="B65" s="6" t="s">
        <v>1422</v>
      </c>
      <c r="C65" s="12">
        <v>0</v>
      </c>
      <c r="D65" s="10">
        <v>1</v>
      </c>
      <c r="E65" s="10">
        <v>0</v>
      </c>
      <c r="F65" s="6">
        <v>0</v>
      </c>
      <c r="G65" s="6">
        <v>1</v>
      </c>
      <c r="H65" s="6">
        <v>0</v>
      </c>
      <c r="I65" s="11">
        <v>0</v>
      </c>
      <c r="J65">
        <v>1</v>
      </c>
    </row>
    <row r="66" spans="1:10" x14ac:dyDescent="0.45">
      <c r="A66" s="9">
        <v>117</v>
      </c>
      <c r="B66" s="6" t="s">
        <v>1423</v>
      </c>
      <c r="C66" s="12">
        <v>0.15</v>
      </c>
      <c r="D66" s="10">
        <v>0</v>
      </c>
      <c r="E66" s="10">
        <v>1</v>
      </c>
      <c r="F66" s="6">
        <v>0</v>
      </c>
      <c r="G66" s="6">
        <v>24</v>
      </c>
      <c r="H66" s="6">
        <v>0</v>
      </c>
      <c r="I66" s="11">
        <v>0.2</v>
      </c>
      <c r="J66">
        <v>1</v>
      </c>
    </row>
    <row r="67" spans="1:10" x14ac:dyDescent="0.45">
      <c r="A67" s="9">
        <v>118</v>
      </c>
      <c r="B67" s="6" t="s">
        <v>1424</v>
      </c>
      <c r="C67" s="12">
        <v>0</v>
      </c>
      <c r="D67" s="10">
        <v>1</v>
      </c>
      <c r="E67" s="10">
        <v>0</v>
      </c>
      <c r="F67" s="6">
        <v>0</v>
      </c>
      <c r="G67" s="6">
        <v>12</v>
      </c>
      <c r="H67" s="6">
        <v>0</v>
      </c>
      <c r="I67" s="11">
        <v>0</v>
      </c>
      <c r="J67">
        <v>1</v>
      </c>
    </row>
    <row r="68" spans="1:10" x14ac:dyDescent="0.45">
      <c r="A68" s="9">
        <v>119</v>
      </c>
      <c r="B68" s="6" t="s">
        <v>1425</v>
      </c>
      <c r="C68" s="12">
        <v>0</v>
      </c>
      <c r="D68" s="10">
        <v>1</v>
      </c>
      <c r="E68" s="10">
        <v>0</v>
      </c>
      <c r="F68" s="6">
        <v>0</v>
      </c>
      <c r="G68" s="6">
        <v>1</v>
      </c>
      <c r="H68" s="6">
        <v>0</v>
      </c>
      <c r="I68" s="11">
        <v>0</v>
      </c>
      <c r="J68">
        <v>1</v>
      </c>
    </row>
    <row r="69" spans="1:10" x14ac:dyDescent="0.45">
      <c r="A69" s="9">
        <v>120</v>
      </c>
      <c r="B69" s="6" t="s">
        <v>1426</v>
      </c>
      <c r="C69" s="12">
        <v>0</v>
      </c>
      <c r="D69" s="10">
        <v>1</v>
      </c>
      <c r="E69" s="10">
        <v>0</v>
      </c>
      <c r="F69" s="6">
        <v>0</v>
      </c>
      <c r="G69" s="6">
        <v>2</v>
      </c>
      <c r="H69" s="6">
        <v>0</v>
      </c>
      <c r="I69" s="11">
        <v>0.1</v>
      </c>
      <c r="J69">
        <v>1</v>
      </c>
    </row>
    <row r="70" spans="1:10" x14ac:dyDescent="0.45">
      <c r="A70" s="9">
        <v>121</v>
      </c>
      <c r="B70" s="6" t="s">
        <v>1427</v>
      </c>
      <c r="C70" s="12">
        <v>0.15</v>
      </c>
      <c r="D70" s="10">
        <v>0</v>
      </c>
      <c r="E70" s="10">
        <v>1</v>
      </c>
      <c r="F70" s="6">
        <v>0</v>
      </c>
      <c r="G70" s="6">
        <v>24</v>
      </c>
      <c r="H70" s="6">
        <v>0</v>
      </c>
      <c r="I70" s="11">
        <v>0.2</v>
      </c>
      <c r="J70">
        <v>1</v>
      </c>
    </row>
    <row r="71" spans="1:10" x14ac:dyDescent="0.45">
      <c r="A71" s="9">
        <v>122</v>
      </c>
      <c r="B71" s="6" t="s">
        <v>1428</v>
      </c>
      <c r="C71" s="12">
        <v>0</v>
      </c>
      <c r="D71" s="10">
        <v>1</v>
      </c>
      <c r="E71" s="10">
        <v>0</v>
      </c>
      <c r="F71" s="6">
        <v>0</v>
      </c>
      <c r="G71" s="6">
        <v>2</v>
      </c>
      <c r="H71" s="6">
        <v>0</v>
      </c>
      <c r="I71" s="11">
        <v>0.2</v>
      </c>
      <c r="J71">
        <v>1</v>
      </c>
    </row>
    <row r="72" spans="1:10" x14ac:dyDescent="0.45">
      <c r="A72" s="9">
        <v>123</v>
      </c>
      <c r="B72" s="6" t="s">
        <v>1429</v>
      </c>
      <c r="C72" s="12">
        <v>0.15</v>
      </c>
      <c r="D72" s="10">
        <v>0</v>
      </c>
      <c r="E72" s="10">
        <v>1</v>
      </c>
      <c r="F72" s="6">
        <v>0</v>
      </c>
      <c r="G72" s="6">
        <v>2</v>
      </c>
      <c r="H72" s="6">
        <v>0</v>
      </c>
      <c r="I72" s="11">
        <v>0.2</v>
      </c>
      <c r="J72">
        <v>1</v>
      </c>
    </row>
    <row r="73" spans="1:10" x14ac:dyDescent="0.45">
      <c r="A73" s="9">
        <v>124</v>
      </c>
      <c r="B73" s="6" t="s">
        <v>1430</v>
      </c>
      <c r="C73" s="12">
        <v>0.15</v>
      </c>
      <c r="D73" s="10">
        <v>0</v>
      </c>
      <c r="E73" s="10">
        <v>1</v>
      </c>
      <c r="F73" s="6">
        <v>0</v>
      </c>
      <c r="G73" s="6">
        <v>10</v>
      </c>
      <c r="H73" s="6">
        <v>0</v>
      </c>
      <c r="I73" s="11">
        <v>0.2</v>
      </c>
      <c r="J73">
        <v>1</v>
      </c>
    </row>
    <row r="74" spans="1:10" x14ac:dyDescent="0.45">
      <c r="A74" s="9">
        <v>125</v>
      </c>
      <c r="B74" s="6" t="s">
        <v>1431</v>
      </c>
      <c r="C74" s="12">
        <v>0.15</v>
      </c>
      <c r="D74" s="10">
        <v>0</v>
      </c>
      <c r="E74" s="10">
        <v>1</v>
      </c>
      <c r="F74" s="6">
        <v>0</v>
      </c>
      <c r="G74" s="6">
        <v>19</v>
      </c>
      <c r="H74" s="6">
        <v>0</v>
      </c>
      <c r="I74" s="11">
        <v>0.2</v>
      </c>
      <c r="J74">
        <v>1</v>
      </c>
    </row>
    <row r="75" spans="1:10" x14ac:dyDescent="0.45">
      <c r="A75" s="9">
        <v>126</v>
      </c>
      <c r="B75" s="6" t="s">
        <v>1432</v>
      </c>
      <c r="C75" s="12">
        <v>0.15</v>
      </c>
      <c r="D75" s="10">
        <v>0</v>
      </c>
      <c r="E75" s="10">
        <v>1</v>
      </c>
      <c r="F75" s="6">
        <v>0</v>
      </c>
      <c r="G75" s="6">
        <v>9</v>
      </c>
      <c r="H75" s="6">
        <v>0</v>
      </c>
      <c r="I75" s="11">
        <v>0.2</v>
      </c>
      <c r="J75">
        <v>1</v>
      </c>
    </row>
    <row r="76" spans="1:10" x14ac:dyDescent="0.45">
      <c r="A76" s="9">
        <v>127</v>
      </c>
      <c r="B76" s="6" t="s">
        <v>1433</v>
      </c>
      <c r="C76" s="12">
        <v>0.15</v>
      </c>
      <c r="D76" s="10">
        <v>0</v>
      </c>
      <c r="E76" s="10">
        <v>1</v>
      </c>
      <c r="F76" s="6">
        <v>0</v>
      </c>
      <c r="G76" s="6">
        <v>9</v>
      </c>
      <c r="H76" s="6">
        <v>0</v>
      </c>
      <c r="I76" s="11">
        <v>0.2</v>
      </c>
      <c r="J76">
        <v>1</v>
      </c>
    </row>
    <row r="77" spans="1:10" x14ac:dyDescent="0.45">
      <c r="A77" s="9">
        <v>128</v>
      </c>
      <c r="B77" s="6" t="s">
        <v>1434</v>
      </c>
      <c r="C77" s="12">
        <v>0.15</v>
      </c>
      <c r="D77" s="10">
        <v>0</v>
      </c>
      <c r="E77" s="10">
        <v>1</v>
      </c>
      <c r="F77" s="6">
        <v>0</v>
      </c>
      <c r="G77" s="6">
        <v>9</v>
      </c>
      <c r="H77" s="6">
        <v>0</v>
      </c>
      <c r="I77" s="11">
        <v>0.2</v>
      </c>
      <c r="J77">
        <v>1</v>
      </c>
    </row>
    <row r="78" spans="1:10" x14ac:dyDescent="0.45">
      <c r="A78" s="9">
        <v>129</v>
      </c>
      <c r="B78" s="6" t="s">
        <v>1435</v>
      </c>
      <c r="C78" s="12">
        <v>0.15</v>
      </c>
      <c r="D78" s="10">
        <v>0</v>
      </c>
      <c r="E78" s="10">
        <v>1</v>
      </c>
      <c r="F78" s="6">
        <v>0</v>
      </c>
      <c r="G78" s="6">
        <v>9</v>
      </c>
      <c r="H78" s="6">
        <v>0</v>
      </c>
      <c r="I78" s="11">
        <v>0.2</v>
      </c>
      <c r="J78">
        <v>1</v>
      </c>
    </row>
    <row r="79" spans="1:10" x14ac:dyDescent="0.45">
      <c r="A79" s="9">
        <v>130</v>
      </c>
      <c r="B79" s="6" t="s">
        <v>1436</v>
      </c>
      <c r="C79" s="12">
        <v>0.15</v>
      </c>
      <c r="D79" s="10">
        <v>0</v>
      </c>
      <c r="E79" s="10">
        <v>1</v>
      </c>
      <c r="F79" s="6">
        <v>0</v>
      </c>
      <c r="G79" s="6">
        <v>9</v>
      </c>
      <c r="H79" s="6">
        <v>0</v>
      </c>
      <c r="I79" s="11">
        <v>0.2</v>
      </c>
      <c r="J79">
        <v>1</v>
      </c>
    </row>
    <row r="80" spans="1:10" x14ac:dyDescent="0.45">
      <c r="A80" s="9">
        <v>131</v>
      </c>
      <c r="B80" s="6" t="s">
        <v>1437</v>
      </c>
      <c r="C80" s="12">
        <v>0.15</v>
      </c>
      <c r="D80" s="10">
        <v>0</v>
      </c>
      <c r="E80" s="10">
        <v>1</v>
      </c>
      <c r="F80" s="6">
        <v>0</v>
      </c>
      <c r="G80" s="6">
        <v>9</v>
      </c>
      <c r="H80" s="6">
        <v>0</v>
      </c>
      <c r="I80" s="11">
        <v>0.2</v>
      </c>
      <c r="J80">
        <v>1</v>
      </c>
    </row>
    <row r="81" spans="1:10" x14ac:dyDescent="0.45">
      <c r="A81" s="9">
        <v>132</v>
      </c>
      <c r="B81" s="6" t="s">
        <v>1438</v>
      </c>
      <c r="C81" s="12">
        <v>0.15</v>
      </c>
      <c r="D81" s="10">
        <v>0</v>
      </c>
      <c r="E81" s="10">
        <v>1</v>
      </c>
      <c r="F81" s="6">
        <v>0</v>
      </c>
      <c r="G81" s="6">
        <v>9</v>
      </c>
      <c r="H81" s="6">
        <v>0</v>
      </c>
      <c r="I81" s="11">
        <v>0.2</v>
      </c>
      <c r="J81">
        <v>1</v>
      </c>
    </row>
    <row r="82" spans="1:10" x14ac:dyDescent="0.45">
      <c r="A82" s="9">
        <v>133</v>
      </c>
      <c r="B82" s="6" t="s">
        <v>1439</v>
      </c>
      <c r="C82" s="12">
        <v>0.15</v>
      </c>
      <c r="D82" s="10">
        <v>0</v>
      </c>
      <c r="E82" s="10">
        <v>1</v>
      </c>
      <c r="F82" s="6">
        <v>0</v>
      </c>
      <c r="G82" s="6">
        <v>9</v>
      </c>
      <c r="H82" s="6">
        <v>0</v>
      </c>
      <c r="I82" s="11">
        <v>0.2</v>
      </c>
      <c r="J82">
        <v>1</v>
      </c>
    </row>
    <row r="83" spans="1:10" x14ac:dyDescent="0.45">
      <c r="A83" s="9">
        <v>134</v>
      </c>
      <c r="B83" s="6" t="s">
        <v>1440</v>
      </c>
      <c r="C83" s="12">
        <v>0.15</v>
      </c>
      <c r="D83" s="10">
        <v>0</v>
      </c>
      <c r="E83" s="10">
        <v>1</v>
      </c>
      <c r="F83" s="6">
        <v>0</v>
      </c>
      <c r="G83" s="6">
        <v>9</v>
      </c>
      <c r="H83" s="6">
        <v>0</v>
      </c>
      <c r="I83" s="11">
        <v>0.2</v>
      </c>
      <c r="J83">
        <v>1</v>
      </c>
    </row>
    <row r="84" spans="1:10" x14ac:dyDescent="0.45">
      <c r="A84" s="9">
        <v>135</v>
      </c>
      <c r="B84" s="6" t="s">
        <v>1441</v>
      </c>
      <c r="C84" s="12">
        <v>0.15</v>
      </c>
      <c r="D84" s="10">
        <v>0</v>
      </c>
      <c r="E84" s="10">
        <v>1</v>
      </c>
      <c r="F84" s="6">
        <v>0</v>
      </c>
      <c r="G84" s="6">
        <v>9</v>
      </c>
      <c r="H84" s="6">
        <v>0</v>
      </c>
      <c r="I84" s="11">
        <v>0.2</v>
      </c>
      <c r="J84">
        <v>1</v>
      </c>
    </row>
    <row r="85" spans="1:10" x14ac:dyDescent="0.45">
      <c r="A85" s="9">
        <v>136</v>
      </c>
      <c r="B85" s="6" t="s">
        <v>1442</v>
      </c>
      <c r="C85" s="12">
        <v>0.15</v>
      </c>
      <c r="D85" s="10">
        <v>0</v>
      </c>
      <c r="E85" s="10">
        <v>1</v>
      </c>
      <c r="F85" s="6">
        <v>0</v>
      </c>
      <c r="G85" s="6">
        <v>9</v>
      </c>
      <c r="H85" s="6">
        <v>0</v>
      </c>
      <c r="I85" s="11">
        <v>0.2</v>
      </c>
      <c r="J85">
        <v>1</v>
      </c>
    </row>
    <row r="86" spans="1:10" x14ac:dyDescent="0.45">
      <c r="A86" s="9">
        <v>137</v>
      </c>
      <c r="B86" s="6" t="s">
        <v>1443</v>
      </c>
      <c r="C86" s="12">
        <v>0.15</v>
      </c>
      <c r="D86" s="10">
        <v>0</v>
      </c>
      <c r="E86" s="10">
        <v>1</v>
      </c>
      <c r="F86" s="6">
        <v>0</v>
      </c>
      <c r="G86" s="6">
        <v>25</v>
      </c>
      <c r="H86" s="6">
        <v>0</v>
      </c>
      <c r="I86" s="11">
        <v>0.2</v>
      </c>
      <c r="J86">
        <v>1</v>
      </c>
    </row>
    <row r="87" spans="1:10" x14ac:dyDescent="0.45">
      <c r="A87" s="9">
        <v>138</v>
      </c>
      <c r="B87" s="6" t="s">
        <v>1444</v>
      </c>
      <c r="C87" s="12">
        <v>0.15</v>
      </c>
      <c r="D87" s="10">
        <v>0</v>
      </c>
      <c r="E87" s="10">
        <v>1</v>
      </c>
      <c r="F87" s="6">
        <v>0</v>
      </c>
      <c r="G87" s="6">
        <v>25</v>
      </c>
      <c r="H87" s="6">
        <v>0</v>
      </c>
      <c r="I87" s="11">
        <v>0.2</v>
      </c>
      <c r="J87">
        <v>1</v>
      </c>
    </row>
    <row r="88" spans="1:10" x14ac:dyDescent="0.45">
      <c r="A88" s="9">
        <v>139</v>
      </c>
      <c r="B88" s="6" t="s">
        <v>1445</v>
      </c>
      <c r="C88" s="12">
        <v>0</v>
      </c>
      <c r="D88" s="10">
        <v>1</v>
      </c>
      <c r="E88" s="10">
        <v>1</v>
      </c>
      <c r="F88" s="6">
        <v>0</v>
      </c>
      <c r="G88" s="6">
        <v>25</v>
      </c>
      <c r="H88" s="6">
        <v>0</v>
      </c>
      <c r="I88" s="11">
        <v>0</v>
      </c>
      <c r="J88">
        <v>1</v>
      </c>
    </row>
    <row r="89" spans="1:10" x14ac:dyDescent="0.45">
      <c r="A89" s="9">
        <v>140</v>
      </c>
      <c r="B89" s="6" t="s">
        <v>1446</v>
      </c>
      <c r="C89" s="12">
        <v>0.15</v>
      </c>
      <c r="D89" s="10">
        <v>0</v>
      </c>
      <c r="E89" s="10">
        <v>1</v>
      </c>
      <c r="F89" s="6">
        <v>0</v>
      </c>
      <c r="G89" s="6">
        <v>24</v>
      </c>
      <c r="H89" s="6">
        <v>0</v>
      </c>
      <c r="I89" s="11">
        <v>0.2</v>
      </c>
      <c r="J89">
        <v>1</v>
      </c>
    </row>
    <row r="90" spans="1:10" x14ac:dyDescent="0.45">
      <c r="A90" s="9">
        <v>141</v>
      </c>
      <c r="B90" s="6" t="s">
        <v>1447</v>
      </c>
      <c r="C90" s="12">
        <v>0.15</v>
      </c>
      <c r="D90" s="10">
        <v>0</v>
      </c>
      <c r="E90" s="10">
        <v>1</v>
      </c>
      <c r="F90" s="6">
        <v>0</v>
      </c>
      <c r="G90" s="6">
        <v>24</v>
      </c>
      <c r="H90" s="6">
        <v>0</v>
      </c>
      <c r="I90" s="11">
        <v>0.2</v>
      </c>
      <c r="J90">
        <v>1</v>
      </c>
    </row>
    <row r="91" spans="1:10" x14ac:dyDescent="0.45">
      <c r="A91" s="9">
        <v>142</v>
      </c>
      <c r="B91" s="6" t="s">
        <v>1448</v>
      </c>
      <c r="C91" s="12">
        <v>0.15</v>
      </c>
      <c r="D91" s="10">
        <v>0</v>
      </c>
      <c r="E91" s="10">
        <v>1</v>
      </c>
      <c r="F91" s="6">
        <v>0</v>
      </c>
      <c r="G91" s="6">
        <v>10</v>
      </c>
      <c r="H91" s="6">
        <v>0</v>
      </c>
      <c r="I91" s="11">
        <v>0.2</v>
      </c>
      <c r="J91">
        <v>1</v>
      </c>
    </row>
    <row r="92" spans="1:10" x14ac:dyDescent="0.45">
      <c r="A92" s="9">
        <v>143</v>
      </c>
      <c r="B92" s="6" t="s">
        <v>1449</v>
      </c>
      <c r="C92" s="12">
        <v>0.15</v>
      </c>
      <c r="D92" s="10">
        <v>0</v>
      </c>
      <c r="E92" s="10">
        <v>0</v>
      </c>
      <c r="F92" s="6">
        <v>0</v>
      </c>
      <c r="G92" s="6">
        <v>7</v>
      </c>
      <c r="H92" s="6">
        <v>0</v>
      </c>
      <c r="I92" s="11">
        <v>0</v>
      </c>
      <c r="J92">
        <v>1</v>
      </c>
    </row>
    <row r="93" spans="1:10" x14ac:dyDescent="0.45">
      <c r="A93" s="9">
        <v>144</v>
      </c>
      <c r="B93" s="6" t="s">
        <v>1450</v>
      </c>
      <c r="C93" s="12">
        <v>0</v>
      </c>
      <c r="D93" s="10">
        <v>1</v>
      </c>
      <c r="E93" s="10">
        <v>0</v>
      </c>
      <c r="F93" s="6">
        <v>0</v>
      </c>
      <c r="G93" s="6">
        <v>7</v>
      </c>
      <c r="H93" s="6">
        <v>0</v>
      </c>
      <c r="I93" s="11">
        <v>0</v>
      </c>
      <c r="J93">
        <v>1</v>
      </c>
    </row>
    <row r="94" spans="1:10" x14ac:dyDescent="0.45">
      <c r="A94" s="9">
        <v>145</v>
      </c>
      <c r="B94" s="6" t="s">
        <v>1451</v>
      </c>
      <c r="C94" s="12">
        <v>0.15</v>
      </c>
      <c r="D94" s="10">
        <v>0</v>
      </c>
      <c r="E94" s="10">
        <v>1</v>
      </c>
      <c r="F94" s="6">
        <v>0</v>
      </c>
      <c r="G94" s="6">
        <v>1</v>
      </c>
      <c r="H94" s="6">
        <v>0</v>
      </c>
      <c r="I94" s="11">
        <v>0.2</v>
      </c>
      <c r="J94">
        <v>1</v>
      </c>
    </row>
    <row r="95" spans="1:10" x14ac:dyDescent="0.45">
      <c r="A95" s="9">
        <v>146</v>
      </c>
      <c r="B95" s="6" t="s">
        <v>1452</v>
      </c>
      <c r="C95" s="12">
        <v>0</v>
      </c>
      <c r="D95" s="10">
        <v>1</v>
      </c>
      <c r="E95" s="10">
        <v>0</v>
      </c>
      <c r="F95" s="6">
        <v>0</v>
      </c>
      <c r="G95" s="6">
        <v>1</v>
      </c>
      <c r="H95" s="6">
        <v>0</v>
      </c>
      <c r="I95" s="11">
        <v>0</v>
      </c>
      <c r="J95">
        <v>1</v>
      </c>
    </row>
    <row r="96" spans="1:10" x14ac:dyDescent="0.45">
      <c r="A96" s="9">
        <v>147</v>
      </c>
      <c r="B96" s="6" t="s">
        <v>1453</v>
      </c>
      <c r="C96" s="12">
        <v>0.15</v>
      </c>
      <c r="D96" s="10">
        <v>0</v>
      </c>
      <c r="E96" s="10">
        <v>1</v>
      </c>
      <c r="F96" s="6">
        <v>0</v>
      </c>
      <c r="G96" s="6">
        <v>24</v>
      </c>
      <c r="H96" s="6">
        <v>0</v>
      </c>
      <c r="I96" s="11">
        <v>0.2</v>
      </c>
      <c r="J96">
        <v>1</v>
      </c>
    </row>
    <row r="97" spans="1:10" x14ac:dyDescent="0.45">
      <c r="A97" s="9">
        <v>148</v>
      </c>
      <c r="B97" s="6" t="s">
        <v>1454</v>
      </c>
      <c r="C97" s="12">
        <v>0.15</v>
      </c>
      <c r="D97" s="10">
        <v>0</v>
      </c>
      <c r="E97" s="10">
        <v>1</v>
      </c>
      <c r="F97" s="6">
        <v>0</v>
      </c>
      <c r="G97" s="6">
        <v>24</v>
      </c>
      <c r="H97" s="6">
        <v>0</v>
      </c>
      <c r="I97" s="11">
        <v>0.2</v>
      </c>
      <c r="J97">
        <v>1</v>
      </c>
    </row>
    <row r="98" spans="1:10" x14ac:dyDescent="0.45">
      <c r="A98" s="9">
        <v>149</v>
      </c>
      <c r="B98" s="6" t="s">
        <v>1455</v>
      </c>
      <c r="C98" s="12">
        <v>0.15</v>
      </c>
      <c r="D98" s="10">
        <v>0</v>
      </c>
      <c r="E98" s="10">
        <v>0</v>
      </c>
      <c r="F98" s="6">
        <v>0</v>
      </c>
      <c r="G98" s="6">
        <v>24</v>
      </c>
      <c r="H98" s="6">
        <v>0</v>
      </c>
      <c r="I98" s="11">
        <v>0.2</v>
      </c>
      <c r="J98">
        <v>1</v>
      </c>
    </row>
    <row r="99" spans="1:10" x14ac:dyDescent="0.45">
      <c r="A99" s="9">
        <v>150</v>
      </c>
      <c r="B99" s="6" t="s">
        <v>1456</v>
      </c>
      <c r="C99" s="12">
        <v>0.15</v>
      </c>
      <c r="D99" s="10">
        <v>0</v>
      </c>
      <c r="E99" s="10">
        <v>1</v>
      </c>
      <c r="F99" s="6">
        <v>0</v>
      </c>
      <c r="G99" s="6">
        <v>24</v>
      </c>
      <c r="H99" s="6">
        <v>0</v>
      </c>
      <c r="I99" s="11">
        <v>0.2</v>
      </c>
      <c r="J99">
        <v>1</v>
      </c>
    </row>
    <row r="100" spans="1:10" x14ac:dyDescent="0.45">
      <c r="A100" s="9">
        <v>151</v>
      </c>
      <c r="B100" s="6" t="s">
        <v>1457</v>
      </c>
      <c r="C100" s="12">
        <v>0</v>
      </c>
      <c r="D100" s="10">
        <v>1</v>
      </c>
      <c r="E100" s="10">
        <v>1</v>
      </c>
      <c r="F100" s="6">
        <v>0</v>
      </c>
      <c r="G100" s="6">
        <v>24</v>
      </c>
      <c r="H100" s="6">
        <v>0</v>
      </c>
      <c r="I100" s="11">
        <v>0.2</v>
      </c>
      <c r="J100">
        <v>1</v>
      </c>
    </row>
    <row r="101" spans="1:10" x14ac:dyDescent="0.45">
      <c r="A101" s="9">
        <v>152</v>
      </c>
      <c r="B101" s="6" t="s">
        <v>1458</v>
      </c>
      <c r="C101" s="12">
        <v>0</v>
      </c>
      <c r="D101" s="10">
        <v>1</v>
      </c>
      <c r="E101" s="10">
        <v>0</v>
      </c>
      <c r="F101" s="6">
        <v>0</v>
      </c>
      <c r="G101" s="6">
        <v>27</v>
      </c>
      <c r="H101" s="6">
        <v>0</v>
      </c>
      <c r="I101" s="11">
        <v>0</v>
      </c>
      <c r="J101">
        <v>1</v>
      </c>
    </row>
    <row r="102" spans="1:10" x14ac:dyDescent="0.45">
      <c r="A102" s="9">
        <v>153</v>
      </c>
      <c r="B102" s="6" t="s">
        <v>1459</v>
      </c>
      <c r="C102" s="12">
        <v>0</v>
      </c>
      <c r="D102" s="10">
        <v>1</v>
      </c>
      <c r="E102" s="10">
        <v>0</v>
      </c>
      <c r="F102" s="6">
        <v>0</v>
      </c>
      <c r="G102" s="6">
        <v>27</v>
      </c>
      <c r="H102" s="6">
        <v>0</v>
      </c>
      <c r="I102" s="11">
        <v>0</v>
      </c>
      <c r="J102">
        <v>1</v>
      </c>
    </row>
    <row r="103" spans="1:10" x14ac:dyDescent="0.45">
      <c r="A103" s="9">
        <v>154</v>
      </c>
      <c r="B103" s="6" t="s">
        <v>1460</v>
      </c>
      <c r="C103" s="12">
        <v>0.15</v>
      </c>
      <c r="D103" s="10">
        <v>0</v>
      </c>
      <c r="E103" s="10">
        <v>1</v>
      </c>
      <c r="F103" s="6">
        <v>0</v>
      </c>
      <c r="G103" s="6">
        <v>24</v>
      </c>
      <c r="H103" s="6">
        <v>0</v>
      </c>
      <c r="I103" s="11">
        <v>0.2</v>
      </c>
      <c r="J103">
        <v>1</v>
      </c>
    </row>
    <row r="104" spans="1:10" x14ac:dyDescent="0.45">
      <c r="A104" s="9">
        <v>155</v>
      </c>
      <c r="B104" s="6" t="s">
        <v>1461</v>
      </c>
      <c r="C104" s="12">
        <v>0.15</v>
      </c>
      <c r="D104" s="10">
        <v>0</v>
      </c>
      <c r="E104" s="10">
        <v>1</v>
      </c>
      <c r="F104" s="6">
        <v>0</v>
      </c>
      <c r="G104" s="6">
        <v>24</v>
      </c>
      <c r="H104" s="6">
        <v>0</v>
      </c>
      <c r="I104" s="11">
        <v>0.2</v>
      </c>
      <c r="J104">
        <v>1</v>
      </c>
    </row>
    <row r="105" spans="1:10" x14ac:dyDescent="0.45">
      <c r="A105" s="9">
        <v>156</v>
      </c>
      <c r="B105" s="6" t="s">
        <v>1462</v>
      </c>
      <c r="C105" s="12">
        <v>0.15</v>
      </c>
      <c r="D105" s="10">
        <v>0</v>
      </c>
      <c r="E105" s="10">
        <v>1</v>
      </c>
      <c r="F105" s="6">
        <v>0</v>
      </c>
      <c r="G105" s="6">
        <v>24</v>
      </c>
      <c r="H105" s="6">
        <v>0</v>
      </c>
      <c r="I105" s="11">
        <v>0.2</v>
      </c>
      <c r="J105">
        <v>1</v>
      </c>
    </row>
    <row r="106" spans="1:10" x14ac:dyDescent="0.45">
      <c r="A106" s="9">
        <v>157</v>
      </c>
      <c r="B106" s="6" t="s">
        <v>1463</v>
      </c>
      <c r="C106" s="12">
        <v>0</v>
      </c>
      <c r="D106" s="10">
        <v>1</v>
      </c>
      <c r="E106" s="10">
        <v>0</v>
      </c>
      <c r="F106" s="6">
        <v>0</v>
      </c>
      <c r="G106" s="6">
        <v>1</v>
      </c>
      <c r="H106" s="6">
        <v>0</v>
      </c>
      <c r="I106" s="11">
        <v>0</v>
      </c>
      <c r="J106">
        <v>1</v>
      </c>
    </row>
    <row r="107" spans="1:10" x14ac:dyDescent="0.45">
      <c r="A107" s="9">
        <v>158</v>
      </c>
      <c r="B107" s="6" t="s">
        <v>1464</v>
      </c>
      <c r="C107" s="12">
        <v>0</v>
      </c>
      <c r="D107" s="10">
        <v>1</v>
      </c>
      <c r="E107" s="10">
        <v>0</v>
      </c>
      <c r="F107" s="6">
        <v>0</v>
      </c>
      <c r="G107" s="6">
        <v>1</v>
      </c>
      <c r="H107" s="6">
        <v>0</v>
      </c>
      <c r="I107" s="11">
        <v>0</v>
      </c>
      <c r="J107">
        <v>1</v>
      </c>
    </row>
    <row r="108" spans="1:10" x14ac:dyDescent="0.45">
      <c r="A108" s="9">
        <v>159</v>
      </c>
      <c r="B108" s="6" t="s">
        <v>1465</v>
      </c>
      <c r="C108" s="12">
        <v>0</v>
      </c>
      <c r="D108" s="10">
        <v>1</v>
      </c>
      <c r="E108" s="10">
        <v>0</v>
      </c>
      <c r="F108" s="6">
        <v>0</v>
      </c>
      <c r="G108" s="6">
        <v>1</v>
      </c>
      <c r="H108" s="6">
        <v>0</v>
      </c>
      <c r="I108" s="11">
        <v>0</v>
      </c>
      <c r="J108">
        <v>1</v>
      </c>
    </row>
    <row r="109" spans="1:10" x14ac:dyDescent="0.45">
      <c r="A109" s="9">
        <v>160</v>
      </c>
      <c r="B109" s="6" t="s">
        <v>1466</v>
      </c>
      <c r="C109" s="12">
        <v>0.15</v>
      </c>
      <c r="D109" s="10">
        <v>0</v>
      </c>
      <c r="E109" s="10">
        <v>0</v>
      </c>
      <c r="F109" s="6">
        <v>0</v>
      </c>
      <c r="G109" s="6">
        <v>7</v>
      </c>
      <c r="H109" s="6">
        <v>0</v>
      </c>
      <c r="I109" s="11">
        <v>0.35</v>
      </c>
      <c r="J109">
        <v>1</v>
      </c>
    </row>
    <row r="110" spans="1:10" x14ac:dyDescent="0.45">
      <c r="A110" s="9">
        <v>161</v>
      </c>
      <c r="B110" s="6" t="s">
        <v>1467</v>
      </c>
      <c r="C110" s="12">
        <v>0.15</v>
      </c>
      <c r="D110" s="10">
        <v>0</v>
      </c>
      <c r="E110" s="10">
        <v>0</v>
      </c>
      <c r="F110" s="6">
        <v>0</v>
      </c>
      <c r="G110" s="6">
        <v>11</v>
      </c>
      <c r="H110" s="6">
        <v>0</v>
      </c>
      <c r="I110" s="11">
        <v>0</v>
      </c>
      <c r="J110">
        <v>1</v>
      </c>
    </row>
    <row r="111" spans="1:10" x14ac:dyDescent="0.45">
      <c r="A111" s="9">
        <v>162</v>
      </c>
      <c r="B111" s="6" t="s">
        <v>1468</v>
      </c>
      <c r="C111" s="12">
        <v>0.15</v>
      </c>
      <c r="D111" s="10">
        <v>0</v>
      </c>
      <c r="E111" s="10">
        <v>0</v>
      </c>
      <c r="F111" s="6">
        <v>0</v>
      </c>
      <c r="G111" s="6">
        <v>33</v>
      </c>
      <c r="H111" s="6">
        <v>0</v>
      </c>
      <c r="I111" s="11">
        <v>0</v>
      </c>
      <c r="J111">
        <v>1</v>
      </c>
    </row>
    <row r="112" spans="1:10" x14ac:dyDescent="0.45">
      <c r="A112" s="9">
        <v>163</v>
      </c>
      <c r="B112" s="6" t="s">
        <v>1469</v>
      </c>
      <c r="C112" s="12">
        <v>0.15</v>
      </c>
      <c r="D112" s="10">
        <v>0</v>
      </c>
      <c r="E112" s="10">
        <v>1</v>
      </c>
      <c r="F112" s="6">
        <v>0</v>
      </c>
      <c r="G112" s="6">
        <v>24</v>
      </c>
      <c r="H112" s="6">
        <v>0</v>
      </c>
      <c r="I112" s="11">
        <v>0.2</v>
      </c>
      <c r="J112">
        <v>1</v>
      </c>
    </row>
    <row r="113" spans="1:10" x14ac:dyDescent="0.45">
      <c r="A113" s="9">
        <v>164</v>
      </c>
      <c r="B113" s="6" t="s">
        <v>1470</v>
      </c>
      <c r="C113" s="12">
        <v>0.15</v>
      </c>
      <c r="D113" s="10">
        <v>0</v>
      </c>
      <c r="E113" s="10">
        <v>1</v>
      </c>
      <c r="F113" s="6">
        <v>0</v>
      </c>
      <c r="G113" s="6">
        <v>24</v>
      </c>
      <c r="H113" s="6">
        <v>0</v>
      </c>
      <c r="I113" s="11">
        <v>0.2</v>
      </c>
      <c r="J113">
        <v>1</v>
      </c>
    </row>
    <row r="114" spans="1:10" x14ac:dyDescent="0.45">
      <c r="A114" s="9">
        <v>165</v>
      </c>
      <c r="B114" s="6" t="s">
        <v>1471</v>
      </c>
      <c r="C114" s="12">
        <v>0.15</v>
      </c>
      <c r="D114" s="10">
        <v>0</v>
      </c>
      <c r="E114" s="10">
        <v>1</v>
      </c>
      <c r="F114" s="6">
        <v>0</v>
      </c>
      <c r="G114" s="6">
        <v>24</v>
      </c>
      <c r="H114" s="6">
        <v>0</v>
      </c>
      <c r="I114" s="11">
        <v>0</v>
      </c>
      <c r="J114">
        <v>1</v>
      </c>
    </row>
    <row r="115" spans="1:10" x14ac:dyDescent="0.45">
      <c r="A115" s="9">
        <v>166</v>
      </c>
      <c r="B115" s="6" t="s">
        <v>1472</v>
      </c>
      <c r="C115" s="12">
        <v>0.15</v>
      </c>
      <c r="D115" s="10">
        <v>0</v>
      </c>
      <c r="E115" s="10">
        <v>1</v>
      </c>
      <c r="F115" s="6">
        <v>0</v>
      </c>
      <c r="G115" s="6">
        <v>24</v>
      </c>
      <c r="H115" s="6">
        <v>0</v>
      </c>
      <c r="I115" s="11">
        <v>0.2</v>
      </c>
      <c r="J115">
        <v>1</v>
      </c>
    </row>
    <row r="116" spans="1:10" x14ac:dyDescent="0.45">
      <c r="A116" s="9">
        <v>167</v>
      </c>
      <c r="B116" s="6" t="s">
        <v>1473</v>
      </c>
      <c r="C116" s="12">
        <v>0.15</v>
      </c>
      <c r="D116" s="10">
        <v>0</v>
      </c>
      <c r="E116" s="10">
        <v>1</v>
      </c>
      <c r="F116" s="6">
        <v>0</v>
      </c>
      <c r="G116" s="6">
        <v>24</v>
      </c>
      <c r="H116" s="6">
        <v>0</v>
      </c>
      <c r="I116" s="11">
        <v>0.2</v>
      </c>
      <c r="J116">
        <v>1</v>
      </c>
    </row>
    <row r="117" spans="1:10" x14ac:dyDescent="0.45">
      <c r="A117" s="9">
        <v>168</v>
      </c>
      <c r="B117" s="6" t="s">
        <v>1474</v>
      </c>
      <c r="C117" s="12">
        <v>0.15</v>
      </c>
      <c r="D117" s="10">
        <v>0</v>
      </c>
      <c r="E117" s="10">
        <v>1</v>
      </c>
      <c r="F117" s="6">
        <v>0</v>
      </c>
      <c r="G117" s="6">
        <v>24</v>
      </c>
      <c r="H117" s="6">
        <v>0</v>
      </c>
      <c r="I117" s="11">
        <v>0.2</v>
      </c>
      <c r="J117">
        <v>1</v>
      </c>
    </row>
    <row r="118" spans="1:10" x14ac:dyDescent="0.45">
      <c r="A118" s="9">
        <v>169</v>
      </c>
      <c r="B118" s="6" t="s">
        <v>1475</v>
      </c>
      <c r="C118" s="12">
        <v>0.15</v>
      </c>
      <c r="D118" s="10">
        <v>0</v>
      </c>
      <c r="E118" s="10">
        <v>1</v>
      </c>
      <c r="F118" s="6">
        <v>0</v>
      </c>
      <c r="G118" s="6">
        <v>24</v>
      </c>
      <c r="H118" s="6">
        <v>0</v>
      </c>
      <c r="I118" s="11">
        <v>0</v>
      </c>
      <c r="J118">
        <v>1</v>
      </c>
    </row>
    <row r="119" spans="1:10" x14ac:dyDescent="0.45">
      <c r="A119" s="9">
        <v>170</v>
      </c>
      <c r="B119" s="6" t="s">
        <v>1476</v>
      </c>
      <c r="C119" s="12">
        <v>0.15</v>
      </c>
      <c r="D119" s="10">
        <v>0</v>
      </c>
      <c r="E119" s="10">
        <v>1</v>
      </c>
      <c r="F119" s="6">
        <v>0</v>
      </c>
      <c r="G119" s="6">
        <v>24</v>
      </c>
      <c r="H119" s="6">
        <v>0</v>
      </c>
      <c r="I119" s="11">
        <v>0.2</v>
      </c>
      <c r="J119">
        <v>1</v>
      </c>
    </row>
    <row r="120" spans="1:10" x14ac:dyDescent="0.45">
      <c r="A120" s="9">
        <v>171</v>
      </c>
      <c r="B120" s="6" t="s">
        <v>1477</v>
      </c>
      <c r="C120" s="12">
        <v>0.15</v>
      </c>
      <c r="D120" s="10">
        <v>0</v>
      </c>
      <c r="E120" s="10">
        <v>1</v>
      </c>
      <c r="F120" s="6">
        <v>0</v>
      </c>
      <c r="G120" s="6">
        <v>24</v>
      </c>
      <c r="H120" s="6">
        <v>0</v>
      </c>
      <c r="I120" s="11">
        <v>0.2</v>
      </c>
      <c r="J120">
        <v>1</v>
      </c>
    </row>
    <row r="121" spans="1:10" x14ac:dyDescent="0.45">
      <c r="A121" s="9">
        <v>172</v>
      </c>
      <c r="B121" s="6" t="s">
        <v>1478</v>
      </c>
      <c r="C121" s="12">
        <v>0.15</v>
      </c>
      <c r="D121" s="10">
        <v>0</v>
      </c>
      <c r="E121" s="10">
        <v>1</v>
      </c>
      <c r="F121" s="6">
        <v>0</v>
      </c>
      <c r="G121" s="6">
        <v>24</v>
      </c>
      <c r="H121" s="6">
        <v>0</v>
      </c>
      <c r="I121" s="11">
        <v>0.2</v>
      </c>
      <c r="J121">
        <v>1</v>
      </c>
    </row>
    <row r="122" spans="1:10" x14ac:dyDescent="0.45">
      <c r="A122" s="9">
        <v>173</v>
      </c>
      <c r="B122" s="6" t="s">
        <v>1479</v>
      </c>
      <c r="C122" s="12">
        <v>0.15</v>
      </c>
      <c r="D122" s="10">
        <v>0</v>
      </c>
      <c r="E122" s="10">
        <v>1</v>
      </c>
      <c r="F122" s="6">
        <v>0</v>
      </c>
      <c r="G122" s="6">
        <v>3</v>
      </c>
      <c r="H122" s="6">
        <v>0</v>
      </c>
      <c r="I122" s="11">
        <v>0.2</v>
      </c>
      <c r="J122">
        <v>1</v>
      </c>
    </row>
    <row r="123" spans="1:10" x14ac:dyDescent="0.45">
      <c r="A123" s="9">
        <v>174</v>
      </c>
      <c r="B123" s="6" t="s">
        <v>1480</v>
      </c>
      <c r="C123" s="12">
        <v>0.15</v>
      </c>
      <c r="D123" s="10">
        <v>0</v>
      </c>
      <c r="E123" s="10">
        <v>1</v>
      </c>
      <c r="F123" s="6">
        <v>0</v>
      </c>
      <c r="G123" s="6">
        <v>24</v>
      </c>
      <c r="H123" s="6">
        <v>0</v>
      </c>
      <c r="I123" s="11">
        <v>0.2</v>
      </c>
      <c r="J123">
        <v>1</v>
      </c>
    </row>
    <row r="124" spans="1:10" x14ac:dyDescent="0.45">
      <c r="A124" s="9">
        <v>175</v>
      </c>
      <c r="B124" s="6" t="s">
        <v>1481</v>
      </c>
      <c r="C124" s="12">
        <v>0.15</v>
      </c>
      <c r="D124" s="10">
        <v>0</v>
      </c>
      <c r="E124" s="10">
        <v>1</v>
      </c>
      <c r="F124" s="6">
        <v>0</v>
      </c>
      <c r="G124" s="6">
        <v>24</v>
      </c>
      <c r="H124" s="6">
        <v>0</v>
      </c>
      <c r="I124" s="11">
        <v>0.1</v>
      </c>
      <c r="J124">
        <v>1</v>
      </c>
    </row>
    <row r="125" spans="1:10" x14ac:dyDescent="0.45">
      <c r="A125" s="9">
        <v>176</v>
      </c>
      <c r="B125" s="6" t="s">
        <v>1482</v>
      </c>
      <c r="C125" s="12">
        <v>0.15</v>
      </c>
      <c r="D125" s="10">
        <v>0</v>
      </c>
      <c r="E125" s="10">
        <v>0</v>
      </c>
      <c r="F125" s="6">
        <v>0</v>
      </c>
      <c r="G125" s="6">
        <v>24</v>
      </c>
      <c r="H125" s="6">
        <v>0</v>
      </c>
      <c r="I125" s="11">
        <v>0</v>
      </c>
      <c r="J125">
        <v>1</v>
      </c>
    </row>
    <row r="126" spans="1:10" x14ac:dyDescent="0.45">
      <c r="A126" s="9">
        <v>177</v>
      </c>
      <c r="B126" s="6" t="s">
        <v>1483</v>
      </c>
      <c r="C126" s="12">
        <v>0.15</v>
      </c>
      <c r="D126" s="10">
        <v>0</v>
      </c>
      <c r="E126" s="10">
        <v>0</v>
      </c>
      <c r="F126" s="6">
        <v>0</v>
      </c>
      <c r="G126" s="6">
        <v>24</v>
      </c>
      <c r="H126" s="6">
        <v>0</v>
      </c>
      <c r="I126" s="11">
        <v>0</v>
      </c>
      <c r="J126">
        <v>1</v>
      </c>
    </row>
    <row r="127" spans="1:10" x14ac:dyDescent="0.45">
      <c r="A127" s="9">
        <v>178</v>
      </c>
      <c r="B127" s="6" t="s">
        <v>1484</v>
      </c>
      <c r="C127" s="12">
        <v>0.15</v>
      </c>
      <c r="D127" s="10">
        <v>0</v>
      </c>
      <c r="E127" s="10">
        <v>0</v>
      </c>
      <c r="F127" s="6">
        <v>0</v>
      </c>
      <c r="G127" s="6">
        <v>24</v>
      </c>
      <c r="H127" s="6">
        <v>0</v>
      </c>
      <c r="I127" s="11">
        <v>0</v>
      </c>
      <c r="J127">
        <v>1</v>
      </c>
    </row>
    <row r="128" spans="1:10" x14ac:dyDescent="0.45">
      <c r="A128" s="9">
        <v>179</v>
      </c>
      <c r="B128" s="6" t="s">
        <v>1485</v>
      </c>
      <c r="C128" s="12">
        <v>0.15</v>
      </c>
      <c r="D128" s="10">
        <v>0</v>
      </c>
      <c r="E128" s="10">
        <v>0</v>
      </c>
      <c r="F128" s="6">
        <v>0</v>
      </c>
      <c r="G128" s="6">
        <v>24</v>
      </c>
      <c r="H128" s="6">
        <v>0</v>
      </c>
      <c r="I128" s="11">
        <v>0</v>
      </c>
      <c r="J128">
        <v>1</v>
      </c>
    </row>
    <row r="129" spans="1:10" x14ac:dyDescent="0.45">
      <c r="A129" s="9">
        <v>180</v>
      </c>
      <c r="B129" s="6" t="s">
        <v>1486</v>
      </c>
      <c r="C129" s="12">
        <v>0.15</v>
      </c>
      <c r="D129" s="10">
        <v>0</v>
      </c>
      <c r="E129" s="10">
        <v>0</v>
      </c>
      <c r="F129" s="6">
        <v>0</v>
      </c>
      <c r="G129" s="6">
        <v>24</v>
      </c>
      <c r="H129" s="6">
        <v>0</v>
      </c>
      <c r="I129" s="11">
        <v>0</v>
      </c>
      <c r="J129">
        <v>1</v>
      </c>
    </row>
    <row r="130" spans="1:10" x14ac:dyDescent="0.45">
      <c r="A130" s="9">
        <v>181</v>
      </c>
      <c r="B130" s="6" t="s">
        <v>1487</v>
      </c>
      <c r="C130" s="12">
        <v>0.15</v>
      </c>
      <c r="D130" s="10">
        <v>0</v>
      </c>
      <c r="E130" s="10">
        <v>1</v>
      </c>
      <c r="F130" s="6">
        <v>0</v>
      </c>
      <c r="G130" s="6">
        <v>12</v>
      </c>
      <c r="H130" s="6">
        <v>0</v>
      </c>
      <c r="I130" s="11">
        <v>0.2</v>
      </c>
      <c r="J130">
        <v>1</v>
      </c>
    </row>
    <row r="131" spans="1:10" x14ac:dyDescent="0.45">
      <c r="A131" s="9">
        <v>182</v>
      </c>
      <c r="B131" s="6" t="s">
        <v>1488</v>
      </c>
      <c r="C131" s="12">
        <v>0.15</v>
      </c>
      <c r="D131" s="10">
        <v>0</v>
      </c>
      <c r="E131" s="10">
        <v>1</v>
      </c>
      <c r="F131" s="6">
        <v>0</v>
      </c>
      <c r="G131" s="6">
        <v>12</v>
      </c>
      <c r="H131" s="6">
        <v>0</v>
      </c>
      <c r="I131" s="11">
        <v>0.2</v>
      </c>
      <c r="J131">
        <v>1</v>
      </c>
    </row>
    <row r="132" spans="1:10" x14ac:dyDescent="0.45">
      <c r="A132" s="9">
        <v>183</v>
      </c>
      <c r="B132" s="6" t="s">
        <v>1489</v>
      </c>
      <c r="C132" s="12">
        <v>0.15</v>
      </c>
      <c r="D132" s="10">
        <v>0</v>
      </c>
      <c r="E132" s="10">
        <v>0</v>
      </c>
      <c r="F132" s="6">
        <v>0</v>
      </c>
      <c r="G132" s="6">
        <v>35</v>
      </c>
      <c r="H132" s="6">
        <v>0</v>
      </c>
      <c r="I132" s="11">
        <v>0</v>
      </c>
      <c r="J132">
        <v>1</v>
      </c>
    </row>
    <row r="133" spans="1:10" x14ac:dyDescent="0.45">
      <c r="A133" s="9">
        <v>184</v>
      </c>
      <c r="B133" s="6" t="s">
        <v>1490</v>
      </c>
      <c r="C133" s="12">
        <v>0.15</v>
      </c>
      <c r="D133" s="10">
        <v>0</v>
      </c>
      <c r="E133" s="10">
        <v>0</v>
      </c>
      <c r="F133" s="6">
        <v>0</v>
      </c>
      <c r="G133" s="6">
        <v>11</v>
      </c>
      <c r="H133" s="6">
        <v>0</v>
      </c>
      <c r="I133" s="11">
        <v>0</v>
      </c>
      <c r="J133">
        <v>1</v>
      </c>
    </row>
    <row r="134" spans="1:10" x14ac:dyDescent="0.45">
      <c r="A134" s="9">
        <v>185</v>
      </c>
      <c r="B134" s="6" t="s">
        <v>1491</v>
      </c>
      <c r="C134" s="12">
        <v>0.15</v>
      </c>
      <c r="D134" s="10">
        <v>0</v>
      </c>
      <c r="E134" s="10">
        <v>0</v>
      </c>
      <c r="F134" s="6">
        <v>0</v>
      </c>
      <c r="G134" s="6">
        <v>11</v>
      </c>
      <c r="H134" s="6">
        <v>0</v>
      </c>
      <c r="I134" s="11">
        <v>0</v>
      </c>
      <c r="J134">
        <v>1</v>
      </c>
    </row>
    <row r="135" spans="1:10" x14ac:dyDescent="0.45">
      <c r="A135" s="9">
        <v>186</v>
      </c>
      <c r="B135" s="6" t="s">
        <v>1492</v>
      </c>
      <c r="C135" s="12">
        <v>0.15</v>
      </c>
      <c r="D135" s="10">
        <v>0</v>
      </c>
      <c r="E135" s="10">
        <v>0</v>
      </c>
      <c r="F135" s="6">
        <v>0</v>
      </c>
      <c r="G135" s="6">
        <v>11</v>
      </c>
      <c r="H135" s="6">
        <v>0</v>
      </c>
      <c r="I135" s="11">
        <v>0</v>
      </c>
      <c r="J135">
        <v>1</v>
      </c>
    </row>
    <row r="136" spans="1:10" x14ac:dyDescent="0.45">
      <c r="A136" s="9">
        <v>187</v>
      </c>
      <c r="B136" s="6" t="s">
        <v>1493</v>
      </c>
      <c r="C136" s="12">
        <v>0.15</v>
      </c>
      <c r="D136" s="10">
        <v>0</v>
      </c>
      <c r="E136" s="10">
        <v>0</v>
      </c>
      <c r="F136" s="6">
        <v>0</v>
      </c>
      <c r="G136" s="6">
        <v>11</v>
      </c>
      <c r="H136" s="6">
        <v>0</v>
      </c>
      <c r="I136" s="11">
        <v>0</v>
      </c>
      <c r="J136">
        <v>1</v>
      </c>
    </row>
    <row r="137" spans="1:10" x14ac:dyDescent="0.45">
      <c r="A137" s="9">
        <v>188</v>
      </c>
      <c r="B137" s="6" t="s">
        <v>1494</v>
      </c>
      <c r="C137" s="12">
        <v>0.15</v>
      </c>
      <c r="D137" s="10">
        <v>0</v>
      </c>
      <c r="E137" s="10">
        <v>0</v>
      </c>
      <c r="F137" s="6">
        <v>0</v>
      </c>
      <c r="G137" s="6">
        <v>18</v>
      </c>
      <c r="H137" s="6">
        <v>0</v>
      </c>
      <c r="I137" s="11">
        <v>0.2</v>
      </c>
      <c r="J137">
        <v>1</v>
      </c>
    </row>
    <row r="138" spans="1:10" x14ac:dyDescent="0.45">
      <c r="A138" s="9">
        <v>189</v>
      </c>
      <c r="B138" s="6" t="s">
        <v>1495</v>
      </c>
      <c r="C138" s="12">
        <v>0</v>
      </c>
      <c r="D138" s="10">
        <v>1</v>
      </c>
      <c r="E138" s="10">
        <v>0</v>
      </c>
      <c r="F138" s="6">
        <v>0</v>
      </c>
      <c r="G138" s="6">
        <v>5</v>
      </c>
      <c r="H138" s="6">
        <v>0</v>
      </c>
      <c r="I138" s="11">
        <v>0.1</v>
      </c>
      <c r="J138">
        <v>1</v>
      </c>
    </row>
    <row r="139" spans="1:10" x14ac:dyDescent="0.45">
      <c r="A139" s="9">
        <v>190</v>
      </c>
      <c r="B139" s="6" t="s">
        <v>1496</v>
      </c>
      <c r="C139" s="12">
        <v>0</v>
      </c>
      <c r="D139" s="10">
        <v>1</v>
      </c>
      <c r="E139" s="10">
        <v>0</v>
      </c>
      <c r="F139" s="6">
        <v>0</v>
      </c>
      <c r="G139" s="6">
        <v>1</v>
      </c>
      <c r="H139" s="6">
        <v>0</v>
      </c>
      <c r="I139" s="11">
        <v>0</v>
      </c>
      <c r="J139">
        <v>1</v>
      </c>
    </row>
    <row r="140" spans="1:10" x14ac:dyDescent="0.45">
      <c r="A140" s="9">
        <v>191</v>
      </c>
      <c r="B140" s="6" t="s">
        <v>1497</v>
      </c>
      <c r="C140" s="12">
        <v>0</v>
      </c>
      <c r="D140" s="10">
        <v>1</v>
      </c>
      <c r="E140" s="10">
        <v>0</v>
      </c>
      <c r="F140" s="6">
        <v>0</v>
      </c>
      <c r="G140" s="6">
        <v>1</v>
      </c>
      <c r="H140" s="6">
        <v>0</v>
      </c>
      <c r="I140" s="11">
        <v>0</v>
      </c>
      <c r="J140">
        <v>1</v>
      </c>
    </row>
    <row r="141" spans="1:10" x14ac:dyDescent="0.45">
      <c r="A141" s="9">
        <v>192</v>
      </c>
      <c r="B141" s="6" t="s">
        <v>1498</v>
      </c>
      <c r="C141" s="12">
        <v>0.15</v>
      </c>
      <c r="D141" s="10">
        <v>0</v>
      </c>
      <c r="E141" s="10">
        <v>1</v>
      </c>
      <c r="F141" s="6">
        <v>0</v>
      </c>
      <c r="G141" s="6">
        <v>31</v>
      </c>
      <c r="H141" s="6">
        <v>0</v>
      </c>
      <c r="I141" s="11">
        <v>0</v>
      </c>
      <c r="J141">
        <v>1</v>
      </c>
    </row>
    <row r="142" spans="1:10" x14ac:dyDescent="0.45">
      <c r="A142" s="9">
        <v>193</v>
      </c>
      <c r="B142" s="6" t="s">
        <v>1499</v>
      </c>
      <c r="C142" s="12">
        <v>0</v>
      </c>
      <c r="D142" s="10">
        <v>1</v>
      </c>
      <c r="E142" s="10">
        <v>0</v>
      </c>
      <c r="F142" s="6">
        <v>0</v>
      </c>
      <c r="G142" s="6">
        <v>1</v>
      </c>
      <c r="H142" s="6">
        <v>0</v>
      </c>
      <c r="I142" s="11">
        <v>0</v>
      </c>
      <c r="J142">
        <v>1</v>
      </c>
    </row>
    <row r="143" spans="1:10" x14ac:dyDescent="0.45">
      <c r="A143" s="9">
        <v>194</v>
      </c>
      <c r="B143" s="6" t="s">
        <v>1500</v>
      </c>
      <c r="C143" s="12">
        <v>0</v>
      </c>
      <c r="D143" s="10">
        <v>1</v>
      </c>
      <c r="E143" s="10">
        <v>0</v>
      </c>
      <c r="F143" s="6">
        <v>0</v>
      </c>
      <c r="G143" s="6">
        <v>1</v>
      </c>
      <c r="H143" s="6">
        <v>0</v>
      </c>
      <c r="I143" s="11">
        <v>0</v>
      </c>
      <c r="J143">
        <v>1</v>
      </c>
    </row>
    <row r="144" spans="1:10" x14ac:dyDescent="0.45">
      <c r="A144" s="9">
        <v>195</v>
      </c>
      <c r="B144" s="6" t="s">
        <v>1501</v>
      </c>
      <c r="C144" s="12">
        <v>0</v>
      </c>
      <c r="D144" s="10">
        <v>1</v>
      </c>
      <c r="E144" s="10">
        <v>0</v>
      </c>
      <c r="F144" s="6">
        <v>0</v>
      </c>
      <c r="G144" s="6">
        <v>1</v>
      </c>
      <c r="H144" s="6">
        <v>0</v>
      </c>
      <c r="I144" s="11">
        <v>0</v>
      </c>
      <c r="J144">
        <v>1</v>
      </c>
    </row>
    <row r="145" spans="1:10" x14ac:dyDescent="0.45">
      <c r="A145" s="9">
        <v>196</v>
      </c>
      <c r="B145" s="6" t="s">
        <v>1502</v>
      </c>
      <c r="C145" s="12">
        <v>0</v>
      </c>
      <c r="D145" s="10">
        <v>1</v>
      </c>
      <c r="E145" s="10">
        <v>0</v>
      </c>
      <c r="F145" s="6">
        <v>0</v>
      </c>
      <c r="G145" s="6">
        <v>5</v>
      </c>
      <c r="H145" s="6">
        <v>0</v>
      </c>
      <c r="I145" s="11">
        <v>0</v>
      </c>
      <c r="J145">
        <v>1</v>
      </c>
    </row>
    <row r="146" spans="1:10" x14ac:dyDescent="0.45">
      <c r="A146" s="9">
        <v>197</v>
      </c>
      <c r="B146" s="6" t="s">
        <v>1503</v>
      </c>
      <c r="C146" s="12">
        <v>0.15</v>
      </c>
      <c r="D146" s="10">
        <v>0</v>
      </c>
      <c r="E146" s="10">
        <v>1</v>
      </c>
      <c r="F146" s="6">
        <v>0</v>
      </c>
      <c r="G146" s="6">
        <v>11</v>
      </c>
      <c r="H146" s="6">
        <v>0</v>
      </c>
      <c r="I146" s="11">
        <v>0.2</v>
      </c>
      <c r="J146">
        <v>1</v>
      </c>
    </row>
    <row r="147" spans="1:10" x14ac:dyDescent="0.45">
      <c r="A147" s="9">
        <v>198</v>
      </c>
      <c r="B147" s="6" t="s">
        <v>1504</v>
      </c>
      <c r="C147" s="12">
        <v>0.15</v>
      </c>
      <c r="D147" s="10">
        <v>0</v>
      </c>
      <c r="E147" s="10">
        <v>1</v>
      </c>
      <c r="F147" s="6">
        <v>0</v>
      </c>
      <c r="G147" s="6">
        <v>23</v>
      </c>
      <c r="H147" s="6">
        <v>0</v>
      </c>
      <c r="I147" s="11">
        <v>0.2</v>
      </c>
      <c r="J147">
        <v>1</v>
      </c>
    </row>
    <row r="148" spans="1:10" x14ac:dyDescent="0.45">
      <c r="A148" s="9">
        <v>199</v>
      </c>
      <c r="B148" s="6" t="s">
        <v>1505</v>
      </c>
      <c r="C148" s="12">
        <v>0.15</v>
      </c>
      <c r="D148" s="10">
        <v>0</v>
      </c>
      <c r="E148" s="10">
        <v>1</v>
      </c>
      <c r="F148" s="6">
        <v>0</v>
      </c>
      <c r="G148" s="6">
        <v>23</v>
      </c>
      <c r="H148" s="6">
        <v>0</v>
      </c>
      <c r="I148" s="11">
        <v>0.2</v>
      </c>
      <c r="J148">
        <v>1</v>
      </c>
    </row>
    <row r="149" spans="1:10" x14ac:dyDescent="0.45">
      <c r="A149" s="9">
        <v>200</v>
      </c>
      <c r="B149" s="6" t="s">
        <v>1506</v>
      </c>
      <c r="C149" s="12">
        <v>0.15</v>
      </c>
      <c r="D149" s="10">
        <v>0</v>
      </c>
      <c r="E149" s="10">
        <v>1</v>
      </c>
      <c r="F149" s="6">
        <v>0</v>
      </c>
      <c r="G149" s="6">
        <v>24</v>
      </c>
      <c r="H149" s="6">
        <v>0</v>
      </c>
      <c r="I149" s="11">
        <v>0.05</v>
      </c>
      <c r="J149">
        <v>1</v>
      </c>
    </row>
    <row r="150" spans="1:10" x14ac:dyDescent="0.45">
      <c r="A150" s="9">
        <v>201</v>
      </c>
      <c r="B150" s="6" t="s">
        <v>1507</v>
      </c>
      <c r="C150" s="12">
        <v>0.15</v>
      </c>
      <c r="D150" s="10">
        <v>0</v>
      </c>
      <c r="E150" s="10">
        <v>1</v>
      </c>
      <c r="F150" s="6">
        <v>0</v>
      </c>
      <c r="G150" s="6">
        <v>11</v>
      </c>
      <c r="H150" s="6">
        <v>0</v>
      </c>
      <c r="I150" s="11">
        <v>0.2</v>
      </c>
      <c r="J150">
        <v>1</v>
      </c>
    </row>
    <row r="151" spans="1:10" x14ac:dyDescent="0.45">
      <c r="A151" s="9">
        <v>202</v>
      </c>
      <c r="B151" s="6" t="s">
        <v>1508</v>
      </c>
      <c r="C151" s="12">
        <v>0.15</v>
      </c>
      <c r="D151" s="10">
        <v>0</v>
      </c>
      <c r="E151" s="10">
        <v>1</v>
      </c>
      <c r="F151" s="6">
        <v>0</v>
      </c>
      <c r="G151" s="6">
        <v>24</v>
      </c>
      <c r="H151" s="6">
        <v>0</v>
      </c>
      <c r="I151" s="11">
        <v>0.2</v>
      </c>
      <c r="J151">
        <v>1</v>
      </c>
    </row>
    <row r="152" spans="1:10" x14ac:dyDescent="0.45">
      <c r="A152" s="9">
        <v>203</v>
      </c>
      <c r="B152" s="6" t="s">
        <v>1509</v>
      </c>
      <c r="C152" s="12">
        <v>0.15</v>
      </c>
      <c r="D152" s="10">
        <v>0</v>
      </c>
      <c r="E152" s="10">
        <v>0</v>
      </c>
      <c r="F152" s="6">
        <v>0</v>
      </c>
      <c r="G152" s="6">
        <v>35</v>
      </c>
      <c r="H152" s="6">
        <v>0</v>
      </c>
      <c r="I152" s="11">
        <v>0</v>
      </c>
      <c r="J152">
        <v>1</v>
      </c>
    </row>
    <row r="153" spans="1:10" x14ac:dyDescent="0.45">
      <c r="A153" s="9">
        <v>204</v>
      </c>
      <c r="B153" s="6" t="s">
        <v>1510</v>
      </c>
      <c r="C153" s="12">
        <v>0.15</v>
      </c>
      <c r="D153" s="10">
        <v>0</v>
      </c>
      <c r="E153" s="10">
        <v>0</v>
      </c>
      <c r="F153" s="6">
        <v>0</v>
      </c>
      <c r="G153" s="6">
        <v>29</v>
      </c>
      <c r="H153" s="6">
        <v>0</v>
      </c>
      <c r="I153" s="11">
        <v>0</v>
      </c>
      <c r="J153">
        <v>1</v>
      </c>
    </row>
    <row r="154" spans="1:10" x14ac:dyDescent="0.45">
      <c r="A154" s="9">
        <v>205</v>
      </c>
      <c r="B154" s="6" t="s">
        <v>1511</v>
      </c>
      <c r="C154" s="12">
        <v>0.15</v>
      </c>
      <c r="D154" s="10">
        <v>0</v>
      </c>
      <c r="E154" s="10">
        <v>0</v>
      </c>
      <c r="F154" s="6">
        <v>0</v>
      </c>
      <c r="G154" s="6">
        <v>29</v>
      </c>
      <c r="H154" s="6">
        <v>0</v>
      </c>
      <c r="I154" s="11">
        <v>0</v>
      </c>
      <c r="J154">
        <v>1</v>
      </c>
    </row>
    <row r="155" spans="1:10" x14ac:dyDescent="0.45">
      <c r="A155" s="9">
        <v>206</v>
      </c>
      <c r="B155" s="6" t="s">
        <v>1512</v>
      </c>
      <c r="C155" s="12">
        <v>0.15</v>
      </c>
      <c r="D155" s="10">
        <v>0</v>
      </c>
      <c r="E155" s="10">
        <v>0</v>
      </c>
      <c r="F155" s="6">
        <v>0</v>
      </c>
      <c r="G155" s="6">
        <v>29</v>
      </c>
      <c r="H155" s="6">
        <v>0</v>
      </c>
      <c r="I155" s="11">
        <v>0</v>
      </c>
      <c r="J155">
        <v>1</v>
      </c>
    </row>
    <row r="156" spans="1:10" x14ac:dyDescent="0.45">
      <c r="A156" s="9">
        <v>207</v>
      </c>
      <c r="B156" s="6" t="s">
        <v>1513</v>
      </c>
      <c r="C156" s="12">
        <v>0.15</v>
      </c>
      <c r="D156" s="10">
        <v>0</v>
      </c>
      <c r="E156" s="10">
        <v>0</v>
      </c>
      <c r="F156" s="6">
        <v>0</v>
      </c>
      <c r="G156" s="6">
        <v>29</v>
      </c>
      <c r="H156" s="6">
        <v>0</v>
      </c>
      <c r="I156" s="11">
        <v>0</v>
      </c>
      <c r="J156">
        <v>1</v>
      </c>
    </row>
    <row r="157" spans="1:10" x14ac:dyDescent="0.45">
      <c r="A157" s="9">
        <v>208</v>
      </c>
      <c r="B157" s="6" t="s">
        <v>1514</v>
      </c>
      <c r="C157" s="12">
        <v>0.15</v>
      </c>
      <c r="D157" s="10">
        <v>0</v>
      </c>
      <c r="E157" s="10">
        <v>0</v>
      </c>
      <c r="F157" s="6">
        <v>0</v>
      </c>
      <c r="G157" s="6">
        <v>29</v>
      </c>
      <c r="H157" s="6">
        <v>0</v>
      </c>
      <c r="I157" s="11">
        <v>0</v>
      </c>
      <c r="J157">
        <v>1</v>
      </c>
    </row>
    <row r="158" spans="1:10" x14ac:dyDescent="0.45">
      <c r="A158" s="9">
        <v>209</v>
      </c>
      <c r="B158" s="6" t="s">
        <v>1515</v>
      </c>
      <c r="C158" s="12">
        <v>0.15</v>
      </c>
      <c r="D158" s="10">
        <v>0</v>
      </c>
      <c r="E158" s="10">
        <v>0</v>
      </c>
      <c r="F158" s="6">
        <v>0</v>
      </c>
      <c r="G158" s="6">
        <v>29</v>
      </c>
      <c r="H158" s="6">
        <v>0</v>
      </c>
      <c r="I158" s="11">
        <v>0</v>
      </c>
      <c r="J158">
        <v>1</v>
      </c>
    </row>
    <row r="159" spans="1:10" x14ac:dyDescent="0.45">
      <c r="A159" s="9">
        <v>210</v>
      </c>
      <c r="B159" s="6" t="s">
        <v>1516</v>
      </c>
      <c r="C159" s="12">
        <v>0.15</v>
      </c>
      <c r="D159" s="10">
        <v>0</v>
      </c>
      <c r="E159" s="10">
        <v>0</v>
      </c>
      <c r="F159" s="6">
        <v>0</v>
      </c>
      <c r="G159" s="6">
        <v>29</v>
      </c>
      <c r="H159" s="6">
        <v>0</v>
      </c>
      <c r="I159" s="11">
        <v>0</v>
      </c>
      <c r="J159">
        <v>1</v>
      </c>
    </row>
    <row r="160" spans="1:10" x14ac:dyDescent="0.45">
      <c r="A160" s="9">
        <v>211</v>
      </c>
      <c r="B160" s="6" t="s">
        <v>1517</v>
      </c>
      <c r="C160" s="12">
        <v>0.15</v>
      </c>
      <c r="D160" s="10">
        <v>0</v>
      </c>
      <c r="E160" s="10">
        <v>0</v>
      </c>
      <c r="F160" s="6">
        <v>0</v>
      </c>
      <c r="G160" s="6">
        <v>29</v>
      </c>
      <c r="H160" s="6">
        <v>0</v>
      </c>
      <c r="I160" s="11">
        <v>0</v>
      </c>
      <c r="J160">
        <v>1</v>
      </c>
    </row>
    <row r="161" spans="1:10" x14ac:dyDescent="0.45">
      <c r="A161" s="9">
        <v>212</v>
      </c>
      <c r="B161" s="6" t="s">
        <v>1518</v>
      </c>
      <c r="C161" s="12">
        <v>0.15</v>
      </c>
      <c r="D161" s="10">
        <v>0</v>
      </c>
      <c r="E161" s="10">
        <v>0</v>
      </c>
      <c r="F161" s="6">
        <v>0</v>
      </c>
      <c r="G161" s="6">
        <v>29</v>
      </c>
      <c r="H161" s="6">
        <v>0</v>
      </c>
      <c r="I161" s="11">
        <v>0</v>
      </c>
      <c r="J161">
        <v>1</v>
      </c>
    </row>
    <row r="162" spans="1:10" x14ac:dyDescent="0.45">
      <c r="A162" s="9">
        <v>213</v>
      </c>
      <c r="B162" s="6" t="s">
        <v>1519</v>
      </c>
      <c r="C162" s="12">
        <v>0.15</v>
      </c>
      <c r="D162" s="10">
        <v>0</v>
      </c>
      <c r="E162" s="10">
        <v>0</v>
      </c>
      <c r="F162" s="6">
        <v>0</v>
      </c>
      <c r="G162" s="6">
        <v>29</v>
      </c>
      <c r="H162" s="6">
        <v>0</v>
      </c>
      <c r="I162" s="11">
        <v>0</v>
      </c>
      <c r="J162">
        <v>1</v>
      </c>
    </row>
    <row r="163" spans="1:10" x14ac:dyDescent="0.45">
      <c r="A163" s="9">
        <v>214</v>
      </c>
      <c r="B163" s="6" t="s">
        <v>1520</v>
      </c>
      <c r="C163" s="12">
        <v>0.15</v>
      </c>
      <c r="D163" s="10">
        <v>0</v>
      </c>
      <c r="E163" s="10">
        <v>0</v>
      </c>
      <c r="F163" s="6">
        <v>0</v>
      </c>
      <c r="G163" s="6">
        <v>29</v>
      </c>
      <c r="H163" s="6">
        <v>0</v>
      </c>
      <c r="I163" s="11">
        <v>0</v>
      </c>
      <c r="J163">
        <v>1</v>
      </c>
    </row>
    <row r="164" spans="1:10" x14ac:dyDescent="0.45">
      <c r="A164" s="9">
        <v>215</v>
      </c>
      <c r="B164" s="6" t="s">
        <v>1521</v>
      </c>
      <c r="C164" s="12">
        <v>0.15</v>
      </c>
      <c r="D164" s="10">
        <v>0</v>
      </c>
      <c r="E164" s="10">
        <v>0</v>
      </c>
      <c r="F164" s="6">
        <v>0</v>
      </c>
      <c r="G164" s="6">
        <v>29</v>
      </c>
      <c r="H164" s="6">
        <v>0</v>
      </c>
      <c r="I164" s="11">
        <v>0</v>
      </c>
      <c r="J164">
        <v>1</v>
      </c>
    </row>
    <row r="165" spans="1:10" x14ac:dyDescent="0.45">
      <c r="A165" s="9">
        <v>216</v>
      </c>
      <c r="B165" s="6" t="s">
        <v>1522</v>
      </c>
      <c r="C165" s="12">
        <v>0.15</v>
      </c>
      <c r="D165" s="10">
        <v>0</v>
      </c>
      <c r="E165" s="10">
        <v>0</v>
      </c>
      <c r="F165" s="6">
        <v>0</v>
      </c>
      <c r="G165" s="6">
        <v>29</v>
      </c>
      <c r="H165" s="6">
        <v>0</v>
      </c>
      <c r="I165" s="11">
        <v>0</v>
      </c>
      <c r="J165">
        <v>1</v>
      </c>
    </row>
    <row r="166" spans="1:10" x14ac:dyDescent="0.45">
      <c r="A166" s="9">
        <v>217</v>
      </c>
      <c r="B166" s="6" t="s">
        <v>1523</v>
      </c>
      <c r="C166" s="12">
        <v>0.15</v>
      </c>
      <c r="D166" s="10">
        <v>0</v>
      </c>
      <c r="E166" s="10">
        <v>0</v>
      </c>
      <c r="F166" s="6">
        <v>0</v>
      </c>
      <c r="G166" s="6">
        <v>29</v>
      </c>
      <c r="H166" s="6">
        <v>0</v>
      </c>
      <c r="I166" s="11">
        <v>0</v>
      </c>
      <c r="J166">
        <v>1</v>
      </c>
    </row>
    <row r="167" spans="1:10" x14ac:dyDescent="0.45">
      <c r="A167" s="9">
        <v>218</v>
      </c>
      <c r="B167" s="6" t="s">
        <v>1524</v>
      </c>
      <c r="C167" s="12">
        <v>0.15</v>
      </c>
      <c r="D167" s="10">
        <v>0</v>
      </c>
      <c r="E167" s="10">
        <v>1</v>
      </c>
      <c r="F167" s="6">
        <v>0</v>
      </c>
      <c r="G167" s="6">
        <v>29</v>
      </c>
      <c r="H167" s="6">
        <v>0</v>
      </c>
      <c r="I167" s="11">
        <v>0.2</v>
      </c>
      <c r="J167">
        <v>1</v>
      </c>
    </row>
    <row r="168" spans="1:10" x14ac:dyDescent="0.45">
      <c r="A168" s="9">
        <v>219</v>
      </c>
      <c r="B168" s="6" t="s">
        <v>1525</v>
      </c>
      <c r="C168" s="12">
        <v>0.15</v>
      </c>
      <c r="D168" s="10">
        <v>0</v>
      </c>
      <c r="E168" s="10">
        <v>1</v>
      </c>
      <c r="F168" s="6">
        <v>0</v>
      </c>
      <c r="G168" s="6">
        <v>29</v>
      </c>
      <c r="H168" s="6">
        <v>0</v>
      </c>
      <c r="I168" s="11">
        <v>0.35</v>
      </c>
      <c r="J168">
        <v>1</v>
      </c>
    </row>
    <row r="169" spans="1:10" x14ac:dyDescent="0.45">
      <c r="A169" s="9">
        <v>220</v>
      </c>
      <c r="B169" s="6" t="s">
        <v>1526</v>
      </c>
      <c r="C169" s="12">
        <v>0</v>
      </c>
      <c r="D169" s="10">
        <v>1</v>
      </c>
      <c r="E169" s="10">
        <v>0</v>
      </c>
      <c r="F169" s="6">
        <v>0</v>
      </c>
      <c r="G169" s="6">
        <v>3</v>
      </c>
      <c r="H169" s="6">
        <v>0</v>
      </c>
      <c r="I169" s="11">
        <v>0</v>
      </c>
      <c r="J169">
        <v>1</v>
      </c>
    </row>
    <row r="170" spans="1:10" x14ac:dyDescent="0.45">
      <c r="A170" s="9">
        <v>221</v>
      </c>
      <c r="B170" s="6" t="s">
        <v>1527</v>
      </c>
      <c r="C170" s="12">
        <v>0.15</v>
      </c>
      <c r="D170" s="10">
        <v>0</v>
      </c>
      <c r="E170" s="10">
        <v>0</v>
      </c>
      <c r="F170" s="6">
        <v>0</v>
      </c>
      <c r="G170" s="6">
        <v>7</v>
      </c>
      <c r="H170" s="6">
        <v>0</v>
      </c>
      <c r="I170" s="11">
        <v>0</v>
      </c>
      <c r="J170">
        <v>1</v>
      </c>
    </row>
    <row r="171" spans="1:10" x14ac:dyDescent="0.45">
      <c r="A171" s="9">
        <v>222</v>
      </c>
      <c r="B171" s="6" t="s">
        <v>1528</v>
      </c>
      <c r="C171" s="12">
        <v>0</v>
      </c>
      <c r="D171" s="10">
        <v>1</v>
      </c>
      <c r="E171" s="10">
        <v>1</v>
      </c>
      <c r="F171" s="6">
        <v>0</v>
      </c>
      <c r="G171" s="6">
        <v>3</v>
      </c>
      <c r="H171" s="6">
        <v>0</v>
      </c>
      <c r="I171" s="11">
        <v>0.2</v>
      </c>
      <c r="J171">
        <v>1</v>
      </c>
    </row>
    <row r="172" spans="1:10" x14ac:dyDescent="0.45">
      <c r="A172" s="9">
        <v>223</v>
      </c>
      <c r="B172" s="6" t="s">
        <v>1529</v>
      </c>
      <c r="C172" s="12">
        <v>0</v>
      </c>
      <c r="D172" s="10">
        <v>1</v>
      </c>
      <c r="E172" s="10">
        <v>1</v>
      </c>
      <c r="F172" s="6">
        <v>0</v>
      </c>
      <c r="G172" s="6">
        <v>3</v>
      </c>
      <c r="H172" s="6">
        <v>0</v>
      </c>
      <c r="I172" s="11">
        <v>0.2</v>
      </c>
      <c r="J172">
        <v>1</v>
      </c>
    </row>
    <row r="173" spans="1:10" x14ac:dyDescent="0.45">
      <c r="A173" s="9">
        <v>224</v>
      </c>
      <c r="B173" s="6" t="s">
        <v>1530</v>
      </c>
      <c r="C173" s="12">
        <v>0</v>
      </c>
      <c r="D173" s="10">
        <v>1</v>
      </c>
      <c r="E173" s="10">
        <v>1</v>
      </c>
      <c r="F173" s="6">
        <v>0</v>
      </c>
      <c r="G173" s="6">
        <v>3</v>
      </c>
      <c r="H173" s="6">
        <v>0</v>
      </c>
      <c r="I173" s="11">
        <v>0.2</v>
      </c>
      <c r="J173">
        <v>1</v>
      </c>
    </row>
    <row r="174" spans="1:10" x14ac:dyDescent="0.45">
      <c r="A174" s="9">
        <v>225</v>
      </c>
      <c r="B174" s="6" t="s">
        <v>1531</v>
      </c>
      <c r="C174" s="12">
        <v>0</v>
      </c>
      <c r="D174" s="10">
        <v>1</v>
      </c>
      <c r="E174" s="10">
        <v>1</v>
      </c>
      <c r="F174" s="6">
        <v>0</v>
      </c>
      <c r="G174" s="6">
        <v>33</v>
      </c>
      <c r="H174" s="6">
        <v>0</v>
      </c>
      <c r="I174" s="11">
        <v>0</v>
      </c>
      <c r="J174">
        <v>1</v>
      </c>
    </row>
    <row r="175" spans="1:10" x14ac:dyDescent="0.45">
      <c r="A175" s="9">
        <v>226</v>
      </c>
      <c r="B175" s="6" t="s">
        <v>1532</v>
      </c>
      <c r="C175" s="12">
        <v>0.15</v>
      </c>
      <c r="D175" s="10">
        <v>0</v>
      </c>
      <c r="E175" s="10">
        <v>0</v>
      </c>
      <c r="F175" s="6">
        <v>0</v>
      </c>
      <c r="G175" s="6">
        <v>1</v>
      </c>
      <c r="H175" s="6">
        <v>0</v>
      </c>
      <c r="I175" s="11">
        <v>0</v>
      </c>
      <c r="J175">
        <v>1</v>
      </c>
    </row>
    <row r="176" spans="1:10" x14ac:dyDescent="0.45">
      <c r="A176" s="9">
        <v>227</v>
      </c>
      <c r="B176" s="6" t="s">
        <v>1533</v>
      </c>
      <c r="C176" s="12">
        <v>0.15</v>
      </c>
      <c r="D176" s="10">
        <v>0</v>
      </c>
      <c r="E176" s="10">
        <v>0</v>
      </c>
      <c r="F176" s="6">
        <v>0</v>
      </c>
      <c r="G176" s="6">
        <v>1</v>
      </c>
      <c r="H176" s="6">
        <v>0</v>
      </c>
      <c r="I176" s="11">
        <v>0</v>
      </c>
      <c r="J176">
        <v>1</v>
      </c>
    </row>
    <row r="177" spans="1:10" x14ac:dyDescent="0.45">
      <c r="A177" s="9">
        <v>228</v>
      </c>
      <c r="B177" s="6" t="s">
        <v>1534</v>
      </c>
      <c r="C177" s="12">
        <v>0.15</v>
      </c>
      <c r="D177" s="10">
        <v>0</v>
      </c>
      <c r="E177" s="10">
        <v>1</v>
      </c>
      <c r="F177" s="6">
        <v>0</v>
      </c>
      <c r="G177" s="6">
        <v>7</v>
      </c>
      <c r="H177" s="6">
        <v>0</v>
      </c>
      <c r="I177" s="11">
        <v>0.2</v>
      </c>
      <c r="J177">
        <v>1</v>
      </c>
    </row>
    <row r="178" spans="1:10" x14ac:dyDescent="0.45">
      <c r="A178" s="9">
        <v>229</v>
      </c>
      <c r="B178" s="6" t="s">
        <v>1535</v>
      </c>
      <c r="C178" s="12">
        <v>0.15</v>
      </c>
      <c r="D178" s="10">
        <v>0</v>
      </c>
      <c r="E178" s="10">
        <v>1</v>
      </c>
      <c r="F178" s="6">
        <v>0</v>
      </c>
      <c r="G178" s="6">
        <v>7</v>
      </c>
      <c r="H178" s="6">
        <v>0</v>
      </c>
      <c r="I178" s="11">
        <v>0.35</v>
      </c>
      <c r="J178">
        <v>1</v>
      </c>
    </row>
    <row r="179" spans="1:10" x14ac:dyDescent="0.45">
      <c r="A179" s="9">
        <v>230</v>
      </c>
      <c r="B179" s="6" t="s">
        <v>1536</v>
      </c>
      <c r="C179" s="12">
        <v>0.15</v>
      </c>
      <c r="D179" s="10">
        <v>0</v>
      </c>
      <c r="E179" s="10">
        <v>1</v>
      </c>
      <c r="F179" s="6">
        <v>0</v>
      </c>
      <c r="G179" s="6">
        <v>31</v>
      </c>
      <c r="H179" s="6">
        <v>0</v>
      </c>
      <c r="I179" s="11">
        <v>0.2</v>
      </c>
      <c r="J179">
        <v>1</v>
      </c>
    </row>
    <row r="180" spans="1:10" x14ac:dyDescent="0.45">
      <c r="A180" s="9">
        <v>231</v>
      </c>
      <c r="B180" s="6" t="s">
        <v>1537</v>
      </c>
      <c r="C180" s="12">
        <v>0.15</v>
      </c>
      <c r="D180" s="10">
        <v>0</v>
      </c>
      <c r="E180" s="10">
        <v>0</v>
      </c>
      <c r="F180" s="6">
        <v>0</v>
      </c>
      <c r="G180" s="6">
        <v>31</v>
      </c>
      <c r="H180" s="6">
        <v>0</v>
      </c>
      <c r="I180" s="11">
        <v>0</v>
      </c>
      <c r="J180">
        <v>1</v>
      </c>
    </row>
    <row r="181" spans="1:10" x14ac:dyDescent="0.45">
      <c r="A181" s="9">
        <v>232</v>
      </c>
      <c r="B181" s="6" t="s">
        <v>1538</v>
      </c>
      <c r="C181" s="12">
        <v>0.15</v>
      </c>
      <c r="D181" s="10">
        <v>0</v>
      </c>
      <c r="E181" s="10">
        <v>1</v>
      </c>
      <c r="F181" s="6">
        <v>0</v>
      </c>
      <c r="G181" s="6">
        <v>11</v>
      </c>
      <c r="H181" s="6">
        <v>0</v>
      </c>
      <c r="I181" s="11">
        <v>0.2</v>
      </c>
      <c r="J181">
        <v>1</v>
      </c>
    </row>
    <row r="182" spans="1:10" x14ac:dyDescent="0.45">
      <c r="A182" s="9">
        <v>233</v>
      </c>
      <c r="B182" s="6" t="s">
        <v>1539</v>
      </c>
      <c r="C182" s="12">
        <v>0.15</v>
      </c>
      <c r="D182" s="10">
        <v>0</v>
      </c>
      <c r="E182" s="10">
        <v>1</v>
      </c>
      <c r="F182" s="6">
        <v>0</v>
      </c>
      <c r="G182" s="6">
        <v>11</v>
      </c>
      <c r="H182" s="6">
        <v>0</v>
      </c>
      <c r="I182" s="11">
        <v>0.1</v>
      </c>
      <c r="J182">
        <v>1</v>
      </c>
    </row>
    <row r="183" spans="1:10" x14ac:dyDescent="0.45">
      <c r="A183" s="9">
        <v>234</v>
      </c>
      <c r="B183" s="6" t="s">
        <v>1540</v>
      </c>
      <c r="C183" s="12">
        <v>0.15</v>
      </c>
      <c r="D183" s="10">
        <v>0</v>
      </c>
      <c r="E183" s="10">
        <v>0</v>
      </c>
      <c r="F183" s="6">
        <v>0</v>
      </c>
      <c r="G183" s="6">
        <v>25</v>
      </c>
      <c r="H183" s="6">
        <v>0</v>
      </c>
      <c r="I183" s="11">
        <v>0</v>
      </c>
      <c r="J183">
        <v>1</v>
      </c>
    </row>
    <row r="184" spans="1:10" x14ac:dyDescent="0.45">
      <c r="A184" s="9">
        <v>235</v>
      </c>
      <c r="B184" s="6" t="s">
        <v>1541</v>
      </c>
      <c r="C184" s="12">
        <v>0.15</v>
      </c>
      <c r="D184" s="10">
        <v>0</v>
      </c>
      <c r="E184" s="10">
        <v>1</v>
      </c>
      <c r="F184" s="6">
        <v>0</v>
      </c>
      <c r="G184" s="6">
        <v>7</v>
      </c>
      <c r="H184" s="6">
        <v>0</v>
      </c>
      <c r="I184" s="11">
        <v>0.35</v>
      </c>
      <c r="J184">
        <v>1</v>
      </c>
    </row>
    <row r="185" spans="1:10" x14ac:dyDescent="0.45">
      <c r="A185" s="9">
        <v>236</v>
      </c>
      <c r="B185" s="6" t="s">
        <v>1542</v>
      </c>
      <c r="C185" s="12">
        <v>0</v>
      </c>
      <c r="D185" s="10">
        <v>1</v>
      </c>
      <c r="E185" s="10">
        <v>0</v>
      </c>
      <c r="F185" s="6">
        <v>0</v>
      </c>
      <c r="G185" s="6">
        <v>1</v>
      </c>
      <c r="H185" s="6">
        <v>0</v>
      </c>
      <c r="I185" s="11">
        <v>0</v>
      </c>
      <c r="J185">
        <v>1</v>
      </c>
    </row>
    <row r="186" spans="1:10" x14ac:dyDescent="0.45">
      <c r="A186" s="9">
        <v>237</v>
      </c>
      <c r="B186" s="6" t="s">
        <v>1543</v>
      </c>
      <c r="C186" s="12">
        <v>0.15</v>
      </c>
      <c r="D186" s="10">
        <v>0</v>
      </c>
      <c r="E186" s="10">
        <v>1</v>
      </c>
      <c r="F186" s="6">
        <v>0</v>
      </c>
      <c r="G186" s="6">
        <v>24</v>
      </c>
      <c r="H186" s="6">
        <v>0</v>
      </c>
      <c r="I186" s="11">
        <v>0.2</v>
      </c>
      <c r="J186">
        <v>1</v>
      </c>
    </row>
    <row r="187" spans="1:10" x14ac:dyDescent="0.45">
      <c r="A187" s="9">
        <v>238</v>
      </c>
      <c r="B187" s="6" t="s">
        <v>1544</v>
      </c>
      <c r="C187" s="12">
        <v>0.15</v>
      </c>
      <c r="D187" s="10">
        <v>0</v>
      </c>
      <c r="E187" s="10">
        <v>1</v>
      </c>
      <c r="F187" s="6">
        <v>0</v>
      </c>
      <c r="G187" s="6">
        <v>24</v>
      </c>
      <c r="H187" s="6">
        <v>0</v>
      </c>
      <c r="I187" s="11">
        <v>0.35</v>
      </c>
      <c r="J187">
        <v>1</v>
      </c>
    </row>
    <row r="188" spans="1:10" x14ac:dyDescent="0.45">
      <c r="A188" s="9">
        <v>239</v>
      </c>
      <c r="B188" s="6" t="s">
        <v>1545</v>
      </c>
      <c r="C188" s="12">
        <v>0.15</v>
      </c>
      <c r="D188" s="10">
        <v>0</v>
      </c>
      <c r="E188" s="10">
        <v>0</v>
      </c>
      <c r="F188" s="6">
        <v>0</v>
      </c>
      <c r="G188" s="6">
        <v>11</v>
      </c>
      <c r="H188" s="6">
        <v>0</v>
      </c>
      <c r="I188" s="11">
        <v>0</v>
      </c>
      <c r="J188">
        <v>1</v>
      </c>
    </row>
    <row r="189" spans="1:10" x14ac:dyDescent="0.45">
      <c r="A189" s="9">
        <v>240</v>
      </c>
      <c r="B189" s="6" t="s">
        <v>1546</v>
      </c>
      <c r="C189" s="12">
        <v>0.15</v>
      </c>
      <c r="D189" s="10">
        <v>0</v>
      </c>
      <c r="E189" s="10">
        <v>0</v>
      </c>
      <c r="F189" s="6">
        <v>0</v>
      </c>
      <c r="G189" s="6">
        <v>7</v>
      </c>
      <c r="H189" s="6">
        <v>0</v>
      </c>
      <c r="I189" s="11">
        <v>0</v>
      </c>
      <c r="J189">
        <v>1</v>
      </c>
    </row>
    <row r="190" spans="1:10" x14ac:dyDescent="0.45">
      <c r="A190" s="9">
        <v>241</v>
      </c>
      <c r="B190" s="6" t="s">
        <v>1547</v>
      </c>
      <c r="C190" s="12">
        <v>0.15</v>
      </c>
      <c r="D190" s="10">
        <v>0</v>
      </c>
      <c r="E190" s="10">
        <v>0</v>
      </c>
      <c r="F190" s="6">
        <v>0</v>
      </c>
      <c r="G190" s="6">
        <v>7</v>
      </c>
      <c r="H190" s="6">
        <v>0</v>
      </c>
      <c r="I190" s="11">
        <v>0</v>
      </c>
      <c r="J190">
        <v>1</v>
      </c>
    </row>
    <row r="191" spans="1:10" x14ac:dyDescent="0.45">
      <c r="A191" s="9">
        <v>242</v>
      </c>
      <c r="B191" s="6" t="s">
        <v>1548</v>
      </c>
      <c r="C191" s="12">
        <v>0.15</v>
      </c>
      <c r="D191" s="10">
        <v>0</v>
      </c>
      <c r="E191" s="10">
        <v>0</v>
      </c>
      <c r="F191" s="6">
        <v>0</v>
      </c>
      <c r="G191" s="6">
        <v>7</v>
      </c>
      <c r="H191" s="6">
        <v>0</v>
      </c>
      <c r="I191" s="11">
        <v>0</v>
      </c>
      <c r="J191">
        <v>1</v>
      </c>
    </row>
    <row r="192" spans="1:10" x14ac:dyDescent="0.45">
      <c r="A192" s="9">
        <v>243</v>
      </c>
      <c r="B192" s="6" t="s">
        <v>1549</v>
      </c>
      <c r="C192" s="12">
        <v>0.15</v>
      </c>
      <c r="D192" s="10">
        <v>0</v>
      </c>
      <c r="E192" s="10">
        <v>1</v>
      </c>
      <c r="F192" s="6">
        <v>0</v>
      </c>
      <c r="G192" s="6">
        <v>33</v>
      </c>
      <c r="H192" s="6">
        <v>0</v>
      </c>
      <c r="I192" s="11">
        <v>0</v>
      </c>
      <c r="J192">
        <v>1</v>
      </c>
    </row>
    <row r="193" spans="1:10" x14ac:dyDescent="0.45">
      <c r="A193" s="9">
        <v>244</v>
      </c>
      <c r="B193" s="6" t="s">
        <v>1550</v>
      </c>
      <c r="C193" s="12">
        <v>0.15</v>
      </c>
      <c r="D193" s="10">
        <v>0</v>
      </c>
      <c r="E193" s="10">
        <v>1</v>
      </c>
      <c r="F193" s="6">
        <v>0</v>
      </c>
      <c r="G193" s="6">
        <v>8</v>
      </c>
      <c r="H193" s="6">
        <v>0</v>
      </c>
      <c r="I193" s="11">
        <v>0.2</v>
      </c>
      <c r="J193">
        <v>1</v>
      </c>
    </row>
    <row r="194" spans="1:10" x14ac:dyDescent="0.45">
      <c r="A194" s="9">
        <v>245</v>
      </c>
      <c r="B194" s="6" t="s">
        <v>1551</v>
      </c>
      <c r="C194" s="12">
        <v>0.15</v>
      </c>
      <c r="D194" s="10">
        <v>0</v>
      </c>
      <c r="E194" s="10">
        <v>0</v>
      </c>
      <c r="F194" s="6">
        <v>0</v>
      </c>
      <c r="G194" s="6">
        <v>2</v>
      </c>
      <c r="H194" s="6">
        <v>0</v>
      </c>
      <c r="I194" s="11">
        <v>0.05</v>
      </c>
      <c r="J194">
        <v>1</v>
      </c>
    </row>
    <row r="195" spans="1:10" x14ac:dyDescent="0.45">
      <c r="A195" s="9">
        <v>246</v>
      </c>
      <c r="B195" s="6" t="s">
        <v>1552</v>
      </c>
      <c r="C195" s="12">
        <v>0.15</v>
      </c>
      <c r="D195" s="10">
        <v>0</v>
      </c>
      <c r="E195" s="10">
        <v>1</v>
      </c>
      <c r="F195" s="6">
        <v>0</v>
      </c>
      <c r="G195" s="6">
        <v>19</v>
      </c>
      <c r="H195" s="6">
        <v>0</v>
      </c>
      <c r="I195" s="11">
        <v>0.2</v>
      </c>
      <c r="J195">
        <v>1</v>
      </c>
    </row>
    <row r="196" spans="1:10" x14ac:dyDescent="0.45">
      <c r="A196" s="9">
        <v>247</v>
      </c>
      <c r="B196" s="6" t="s">
        <v>1553</v>
      </c>
      <c r="C196" s="12">
        <v>0.15</v>
      </c>
      <c r="D196" s="10">
        <v>0</v>
      </c>
      <c r="E196" s="10">
        <v>1</v>
      </c>
      <c r="F196" s="6">
        <v>0</v>
      </c>
      <c r="G196" s="6">
        <v>16</v>
      </c>
      <c r="H196" s="6">
        <v>0</v>
      </c>
      <c r="I196" s="11">
        <v>0.2</v>
      </c>
      <c r="J196">
        <v>1</v>
      </c>
    </row>
    <row r="197" spans="1:10" x14ac:dyDescent="0.45">
      <c r="A197" s="9">
        <v>248</v>
      </c>
      <c r="B197" s="6" t="s">
        <v>1554</v>
      </c>
      <c r="C197" s="12">
        <v>0.15</v>
      </c>
      <c r="D197" s="10">
        <v>0</v>
      </c>
      <c r="E197" s="10">
        <v>0</v>
      </c>
      <c r="F197" s="6">
        <v>0</v>
      </c>
      <c r="G197" s="6">
        <v>8</v>
      </c>
      <c r="H197" s="6">
        <v>0</v>
      </c>
      <c r="I197" s="11">
        <v>0</v>
      </c>
      <c r="J197">
        <v>1</v>
      </c>
    </row>
    <row r="198" spans="1:10" x14ac:dyDescent="0.45">
      <c r="A198" s="9">
        <v>249</v>
      </c>
      <c r="B198" s="6" t="s">
        <v>1555</v>
      </c>
      <c r="C198" s="12">
        <v>0.15</v>
      </c>
      <c r="D198" s="10">
        <v>0</v>
      </c>
      <c r="E198" s="10">
        <v>0</v>
      </c>
      <c r="F198" s="6">
        <v>0</v>
      </c>
      <c r="G198" s="6">
        <v>35</v>
      </c>
      <c r="H198" s="6">
        <v>0</v>
      </c>
      <c r="I198" s="11">
        <v>0</v>
      </c>
      <c r="J198">
        <v>1</v>
      </c>
    </row>
    <row r="199" spans="1:10" x14ac:dyDescent="0.45">
      <c r="A199" s="9">
        <v>250</v>
      </c>
      <c r="B199" s="6" t="s">
        <v>1556</v>
      </c>
      <c r="C199" s="12">
        <v>0.15</v>
      </c>
      <c r="D199" s="10">
        <v>0</v>
      </c>
      <c r="E199" s="10">
        <v>1</v>
      </c>
      <c r="F199" s="6">
        <v>0</v>
      </c>
      <c r="G199" s="6">
        <v>7</v>
      </c>
      <c r="H199" s="6">
        <v>0</v>
      </c>
      <c r="I199" s="11">
        <v>0.2</v>
      </c>
      <c r="J199">
        <v>1</v>
      </c>
    </row>
    <row r="200" spans="1:10" x14ac:dyDescent="0.45">
      <c r="A200" s="9">
        <v>251</v>
      </c>
      <c r="B200" s="6" t="s">
        <v>1557</v>
      </c>
      <c r="C200" s="12">
        <v>0.15</v>
      </c>
      <c r="D200" s="10">
        <v>0</v>
      </c>
      <c r="E200" s="10">
        <v>1</v>
      </c>
      <c r="F200" s="6">
        <v>0</v>
      </c>
      <c r="G200" s="6">
        <v>7</v>
      </c>
      <c r="H200" s="6">
        <v>0</v>
      </c>
      <c r="I200" s="11">
        <v>0.2</v>
      </c>
      <c r="J200">
        <v>1</v>
      </c>
    </row>
    <row r="201" spans="1:10" x14ac:dyDescent="0.45">
      <c r="A201" s="9">
        <v>252</v>
      </c>
      <c r="B201" s="6" t="s">
        <v>1558</v>
      </c>
      <c r="C201" s="12">
        <v>0.15</v>
      </c>
      <c r="D201" s="10">
        <v>0</v>
      </c>
      <c r="E201" s="10">
        <v>1</v>
      </c>
      <c r="F201" s="6">
        <v>0</v>
      </c>
      <c r="G201" s="6">
        <v>7</v>
      </c>
      <c r="H201" s="6">
        <v>0</v>
      </c>
      <c r="I201" s="11">
        <v>0.2</v>
      </c>
      <c r="J201">
        <v>1</v>
      </c>
    </row>
    <row r="202" spans="1:10" x14ac:dyDescent="0.45">
      <c r="A202" s="9">
        <v>253</v>
      </c>
      <c r="B202" s="6" t="s">
        <v>1559</v>
      </c>
      <c r="C202" s="12">
        <v>0.15</v>
      </c>
      <c r="D202" s="10">
        <v>0</v>
      </c>
      <c r="E202" s="10">
        <v>1</v>
      </c>
      <c r="F202" s="6">
        <v>0</v>
      </c>
      <c r="G202" s="6">
        <v>11</v>
      </c>
      <c r="H202" s="6">
        <v>0</v>
      </c>
      <c r="I202" s="11">
        <v>0.2</v>
      </c>
      <c r="J202">
        <v>1</v>
      </c>
    </row>
    <row r="203" spans="1:10" x14ac:dyDescent="0.45">
      <c r="A203" s="9">
        <v>254</v>
      </c>
      <c r="B203" s="6" t="s">
        <v>1560</v>
      </c>
      <c r="C203" s="12">
        <v>0.15</v>
      </c>
      <c r="D203" s="10">
        <v>0</v>
      </c>
      <c r="E203" s="10">
        <v>1</v>
      </c>
      <c r="F203" s="6">
        <v>0</v>
      </c>
      <c r="G203" s="6">
        <v>11</v>
      </c>
      <c r="H203" s="6">
        <v>0</v>
      </c>
      <c r="I203" s="11">
        <v>0.2</v>
      </c>
      <c r="J203">
        <v>1</v>
      </c>
    </row>
    <row r="204" spans="1:10" x14ac:dyDescent="0.45">
      <c r="A204" s="9">
        <v>255</v>
      </c>
      <c r="B204" s="6" t="s">
        <v>1561</v>
      </c>
      <c r="C204" s="12">
        <v>0.15</v>
      </c>
      <c r="D204" s="10">
        <v>0</v>
      </c>
      <c r="E204" s="10">
        <v>0</v>
      </c>
      <c r="F204" s="6">
        <v>0</v>
      </c>
      <c r="G204" s="6">
        <v>27</v>
      </c>
      <c r="H204" s="6">
        <v>0</v>
      </c>
      <c r="I204" s="11">
        <v>0</v>
      </c>
      <c r="J204">
        <v>1</v>
      </c>
    </row>
    <row r="205" spans="1:10" x14ac:dyDescent="0.45">
      <c r="A205" s="9">
        <v>256</v>
      </c>
      <c r="B205" s="6" t="s">
        <v>1562</v>
      </c>
      <c r="C205" s="12">
        <v>0</v>
      </c>
      <c r="D205" s="10">
        <v>1</v>
      </c>
      <c r="E205" s="10">
        <v>1</v>
      </c>
      <c r="F205" s="6">
        <v>0</v>
      </c>
      <c r="G205" s="6">
        <v>1</v>
      </c>
      <c r="H205" s="6">
        <v>0</v>
      </c>
      <c r="I205" s="11">
        <v>0.2</v>
      </c>
      <c r="J205">
        <v>1</v>
      </c>
    </row>
    <row r="206" spans="1:10" x14ac:dyDescent="0.45">
      <c r="A206" s="9">
        <v>257</v>
      </c>
      <c r="B206" s="6" t="s">
        <v>1563</v>
      </c>
      <c r="C206" s="12">
        <v>0.15</v>
      </c>
      <c r="D206" s="10">
        <v>0</v>
      </c>
      <c r="E206" s="10">
        <v>1</v>
      </c>
      <c r="F206" s="6">
        <v>0</v>
      </c>
      <c r="G206" s="6">
        <v>9</v>
      </c>
      <c r="H206" s="6">
        <v>0</v>
      </c>
      <c r="I206" s="11">
        <v>0.1</v>
      </c>
      <c r="J206">
        <v>1</v>
      </c>
    </row>
    <row r="207" spans="1:10" x14ac:dyDescent="0.45">
      <c r="A207" s="9">
        <v>258</v>
      </c>
      <c r="B207" s="6" t="s">
        <v>1564</v>
      </c>
      <c r="C207" s="12">
        <v>0.15</v>
      </c>
      <c r="D207" s="10">
        <v>0</v>
      </c>
      <c r="E207" s="10">
        <v>0</v>
      </c>
      <c r="F207" s="6">
        <v>0</v>
      </c>
      <c r="G207" s="6">
        <v>3</v>
      </c>
      <c r="H207" s="6">
        <v>0</v>
      </c>
      <c r="I207" s="11">
        <v>0</v>
      </c>
      <c r="J207">
        <v>1</v>
      </c>
    </row>
    <row r="208" spans="1:10" x14ac:dyDescent="0.45">
      <c r="A208" s="9">
        <v>259</v>
      </c>
      <c r="B208" s="6" t="s">
        <v>1565</v>
      </c>
      <c r="C208" s="12">
        <v>0.15</v>
      </c>
      <c r="D208" s="10">
        <v>0</v>
      </c>
      <c r="E208" s="10">
        <v>0</v>
      </c>
      <c r="F208" s="6">
        <v>0</v>
      </c>
      <c r="G208" s="6">
        <v>3</v>
      </c>
      <c r="H208" s="6">
        <v>0</v>
      </c>
      <c r="I208" s="11">
        <v>0</v>
      </c>
      <c r="J208">
        <v>1</v>
      </c>
    </row>
    <row r="209" spans="1:10" x14ac:dyDescent="0.45">
      <c r="A209" s="9">
        <v>260</v>
      </c>
      <c r="B209" s="6" t="s">
        <v>1566</v>
      </c>
      <c r="C209" s="12">
        <v>0.15</v>
      </c>
      <c r="D209" s="10">
        <v>0</v>
      </c>
      <c r="E209" s="10">
        <v>0</v>
      </c>
      <c r="F209" s="6">
        <v>0</v>
      </c>
      <c r="G209" s="6">
        <v>5</v>
      </c>
      <c r="H209" s="6">
        <v>0</v>
      </c>
      <c r="I209" s="11">
        <v>0</v>
      </c>
      <c r="J209">
        <v>1</v>
      </c>
    </row>
    <row r="210" spans="1:10" x14ac:dyDescent="0.45">
      <c r="A210" s="9">
        <v>261</v>
      </c>
      <c r="B210" s="6" t="s">
        <v>1567</v>
      </c>
      <c r="C210" s="12">
        <v>0.15</v>
      </c>
      <c r="D210" s="10">
        <v>0</v>
      </c>
      <c r="E210" s="10">
        <v>1</v>
      </c>
      <c r="F210" s="6">
        <v>0</v>
      </c>
      <c r="G210" s="6">
        <v>33</v>
      </c>
      <c r="H210" s="6">
        <v>0</v>
      </c>
      <c r="I210" s="11">
        <v>0.2</v>
      </c>
      <c r="J210">
        <v>1</v>
      </c>
    </row>
    <row r="211" spans="1:10" x14ac:dyDescent="0.45">
      <c r="A211" s="9">
        <v>262</v>
      </c>
      <c r="B211" s="6" t="s">
        <v>1568</v>
      </c>
      <c r="C211" s="12">
        <v>0.15</v>
      </c>
      <c r="D211" s="10">
        <v>0</v>
      </c>
      <c r="E211" s="10">
        <v>0</v>
      </c>
      <c r="F211" s="6">
        <v>0</v>
      </c>
      <c r="G211" s="6">
        <v>8</v>
      </c>
      <c r="H211" s="6">
        <v>0</v>
      </c>
      <c r="I211" s="11">
        <v>0.2</v>
      </c>
      <c r="J211">
        <v>1</v>
      </c>
    </row>
    <row r="212" spans="1:10" x14ac:dyDescent="0.45">
      <c r="A212" s="9">
        <v>263</v>
      </c>
      <c r="B212" s="6" t="s">
        <v>1569</v>
      </c>
      <c r="C212" s="12">
        <v>0.15</v>
      </c>
      <c r="D212" s="10">
        <v>0</v>
      </c>
      <c r="E212" s="10">
        <v>0</v>
      </c>
      <c r="F212" s="6">
        <v>0</v>
      </c>
      <c r="G212" s="6">
        <v>8</v>
      </c>
      <c r="H212" s="6">
        <v>0</v>
      </c>
      <c r="I212" s="11">
        <v>0.2</v>
      </c>
      <c r="J212">
        <v>1</v>
      </c>
    </row>
    <row r="213" spans="1:10" x14ac:dyDescent="0.45">
      <c r="A213" s="9">
        <v>264</v>
      </c>
      <c r="B213" s="6" t="s">
        <v>1570</v>
      </c>
      <c r="C213" s="12">
        <v>0.15</v>
      </c>
      <c r="D213" s="10">
        <v>0</v>
      </c>
      <c r="E213" s="10">
        <v>0</v>
      </c>
      <c r="F213" s="6">
        <v>0</v>
      </c>
      <c r="G213" s="6">
        <v>12</v>
      </c>
      <c r="H213" s="6">
        <v>0</v>
      </c>
      <c r="I213" s="11">
        <v>0.2</v>
      </c>
      <c r="J213">
        <v>1</v>
      </c>
    </row>
    <row r="214" spans="1:10" x14ac:dyDescent="0.45">
      <c r="A214" s="9">
        <v>265</v>
      </c>
      <c r="B214" s="6" t="s">
        <v>1571</v>
      </c>
      <c r="C214" s="12">
        <v>0.15</v>
      </c>
      <c r="D214" s="10">
        <v>0</v>
      </c>
      <c r="E214" s="10">
        <v>1</v>
      </c>
      <c r="F214" s="6">
        <v>0</v>
      </c>
      <c r="G214" s="6">
        <v>12</v>
      </c>
      <c r="H214" s="6">
        <v>0</v>
      </c>
      <c r="I214" s="11">
        <v>0.2</v>
      </c>
      <c r="J214">
        <v>1</v>
      </c>
    </row>
    <row r="215" spans="1:10" x14ac:dyDescent="0.45">
      <c r="A215" s="9">
        <v>266</v>
      </c>
      <c r="B215" s="6" t="s">
        <v>1572</v>
      </c>
      <c r="C215" s="12">
        <v>0.15</v>
      </c>
      <c r="D215" s="10">
        <v>0</v>
      </c>
      <c r="E215" s="10">
        <v>1</v>
      </c>
      <c r="F215" s="6">
        <v>0</v>
      </c>
      <c r="G215" s="6">
        <v>23</v>
      </c>
      <c r="H215" s="6">
        <v>0</v>
      </c>
      <c r="I215" s="11">
        <v>0.2</v>
      </c>
      <c r="J215">
        <v>1</v>
      </c>
    </row>
    <row r="216" spans="1:10" x14ac:dyDescent="0.45">
      <c r="A216" s="9">
        <v>267</v>
      </c>
      <c r="B216" s="6" t="s">
        <v>1573</v>
      </c>
      <c r="C216" s="12">
        <v>0.15</v>
      </c>
      <c r="D216" s="10">
        <v>0</v>
      </c>
      <c r="E216" s="10">
        <v>1</v>
      </c>
      <c r="F216" s="6">
        <v>0</v>
      </c>
      <c r="G216" s="6">
        <v>31</v>
      </c>
      <c r="H216" s="6">
        <v>0</v>
      </c>
      <c r="I216" s="11">
        <v>0.2</v>
      </c>
      <c r="J216">
        <v>1</v>
      </c>
    </row>
    <row r="217" spans="1:10" x14ac:dyDescent="0.45">
      <c r="A217" s="9">
        <v>268</v>
      </c>
      <c r="B217" s="6" t="s">
        <v>1574</v>
      </c>
      <c r="C217" s="12">
        <v>0</v>
      </c>
      <c r="D217" s="10">
        <v>1</v>
      </c>
      <c r="E217" s="10">
        <v>0</v>
      </c>
      <c r="F217" s="6">
        <v>0</v>
      </c>
      <c r="G217" s="6">
        <v>7</v>
      </c>
      <c r="H217" s="6">
        <v>0</v>
      </c>
      <c r="I217" s="11">
        <v>0</v>
      </c>
      <c r="J217">
        <v>1</v>
      </c>
    </row>
    <row r="218" spans="1:10" x14ac:dyDescent="0.45">
      <c r="A218" s="9">
        <v>269</v>
      </c>
      <c r="B218" s="6" t="s">
        <v>1575</v>
      </c>
      <c r="C218" s="12">
        <v>0</v>
      </c>
      <c r="D218" s="10">
        <v>1</v>
      </c>
      <c r="E218" s="10">
        <v>0</v>
      </c>
      <c r="F218" s="6">
        <v>0</v>
      </c>
      <c r="G218" s="6">
        <v>1</v>
      </c>
      <c r="H218" s="6">
        <v>0</v>
      </c>
      <c r="I218" s="11">
        <v>0</v>
      </c>
      <c r="J218">
        <v>1</v>
      </c>
    </row>
    <row r="219" spans="1:10" x14ac:dyDescent="0.45">
      <c r="A219" s="9">
        <v>270</v>
      </c>
      <c r="B219" s="6" t="s">
        <v>1576</v>
      </c>
      <c r="C219" s="12">
        <v>0</v>
      </c>
      <c r="D219" s="10">
        <v>1</v>
      </c>
      <c r="E219" s="10">
        <v>1</v>
      </c>
      <c r="F219" s="6">
        <v>0</v>
      </c>
      <c r="G219" s="6">
        <v>1</v>
      </c>
      <c r="H219" s="6">
        <v>0</v>
      </c>
      <c r="I219" s="11">
        <v>0.2</v>
      </c>
      <c r="J219">
        <v>1</v>
      </c>
    </row>
    <row r="220" spans="1:10" x14ac:dyDescent="0.45">
      <c r="A220" s="9">
        <v>271</v>
      </c>
      <c r="B220" s="6" t="s">
        <v>1577</v>
      </c>
      <c r="C220" s="12">
        <v>0</v>
      </c>
      <c r="D220" s="10">
        <v>1</v>
      </c>
      <c r="E220" s="10">
        <v>0</v>
      </c>
      <c r="F220" s="6">
        <v>0</v>
      </c>
      <c r="G220" s="6">
        <v>1</v>
      </c>
      <c r="H220" s="6">
        <v>0</v>
      </c>
      <c r="I220" s="11">
        <v>0</v>
      </c>
      <c r="J220">
        <v>1</v>
      </c>
    </row>
    <row r="221" spans="1:10" x14ac:dyDescent="0.45">
      <c r="A221" s="9">
        <v>272</v>
      </c>
      <c r="B221" s="6" t="s">
        <v>1578</v>
      </c>
      <c r="C221" s="12">
        <v>0.15</v>
      </c>
      <c r="D221" s="10">
        <v>0</v>
      </c>
      <c r="E221" s="10">
        <v>1</v>
      </c>
      <c r="F221" s="6">
        <v>0</v>
      </c>
      <c r="G221" s="6">
        <v>24</v>
      </c>
      <c r="H221" s="6">
        <v>0</v>
      </c>
      <c r="I221" s="11">
        <v>0.2</v>
      </c>
      <c r="J221">
        <v>1</v>
      </c>
    </row>
    <row r="222" spans="1:10" x14ac:dyDescent="0.45">
      <c r="A222" s="9">
        <v>273</v>
      </c>
      <c r="B222" s="6" t="s">
        <v>1579</v>
      </c>
      <c r="C222" s="12">
        <v>0.15</v>
      </c>
      <c r="D222" s="10">
        <v>0</v>
      </c>
      <c r="E222" s="10">
        <v>0</v>
      </c>
      <c r="F222" s="6">
        <v>0</v>
      </c>
      <c r="G222" s="6">
        <v>2</v>
      </c>
      <c r="H222" s="6">
        <v>0</v>
      </c>
      <c r="I222" s="11">
        <v>0</v>
      </c>
      <c r="J222">
        <v>1</v>
      </c>
    </row>
    <row r="223" spans="1:10" x14ac:dyDescent="0.45">
      <c r="A223" s="9">
        <v>274</v>
      </c>
      <c r="B223" s="6" t="s">
        <v>1580</v>
      </c>
      <c r="C223" s="12">
        <v>0</v>
      </c>
      <c r="D223" s="10">
        <v>1</v>
      </c>
      <c r="E223" s="10">
        <v>0</v>
      </c>
      <c r="F223" s="6">
        <v>0</v>
      </c>
      <c r="G223" s="6">
        <v>33</v>
      </c>
      <c r="H223" s="6">
        <v>0</v>
      </c>
      <c r="I223" s="11">
        <v>0.2</v>
      </c>
      <c r="J223">
        <v>1</v>
      </c>
    </row>
    <row r="224" spans="1:10" x14ac:dyDescent="0.45">
      <c r="A224" s="9">
        <v>275</v>
      </c>
      <c r="B224" s="6" t="s">
        <v>1581</v>
      </c>
      <c r="C224" s="12">
        <v>0</v>
      </c>
      <c r="D224" s="10">
        <v>1</v>
      </c>
      <c r="E224" s="10">
        <v>1</v>
      </c>
      <c r="F224" s="6">
        <v>0</v>
      </c>
      <c r="G224" s="6">
        <v>33</v>
      </c>
      <c r="H224" s="6">
        <v>0</v>
      </c>
      <c r="I224" s="11">
        <v>0.2</v>
      </c>
      <c r="J224">
        <v>1</v>
      </c>
    </row>
    <row r="225" spans="1:10" x14ac:dyDescent="0.45">
      <c r="A225" s="9">
        <v>276</v>
      </c>
      <c r="B225" s="6" t="s">
        <v>1582</v>
      </c>
      <c r="C225" s="12">
        <v>0.15</v>
      </c>
      <c r="D225" s="10">
        <v>0</v>
      </c>
      <c r="E225" s="10">
        <v>1</v>
      </c>
      <c r="F225" s="6">
        <v>0</v>
      </c>
      <c r="G225" s="6">
        <v>13</v>
      </c>
      <c r="H225" s="6">
        <v>0</v>
      </c>
      <c r="I225" s="11">
        <v>0.1</v>
      </c>
      <c r="J225">
        <v>1</v>
      </c>
    </row>
    <row r="226" spans="1:10" x14ac:dyDescent="0.45">
      <c r="A226" s="9">
        <v>277</v>
      </c>
      <c r="B226" s="6" t="s">
        <v>1583</v>
      </c>
      <c r="C226" s="12">
        <v>0.15</v>
      </c>
      <c r="D226" s="10">
        <v>0</v>
      </c>
      <c r="E226" s="10">
        <v>1</v>
      </c>
      <c r="F226" s="6">
        <v>0</v>
      </c>
      <c r="G226" s="6">
        <v>24</v>
      </c>
      <c r="H226" s="6">
        <v>0</v>
      </c>
      <c r="I226" s="11">
        <v>0.2</v>
      </c>
      <c r="J226">
        <v>1</v>
      </c>
    </row>
    <row r="227" spans="1:10" x14ac:dyDescent="0.45">
      <c r="A227" s="9">
        <v>278</v>
      </c>
      <c r="B227" s="6" t="s">
        <v>1584</v>
      </c>
      <c r="C227" s="12">
        <v>0.15</v>
      </c>
      <c r="D227" s="10">
        <v>0</v>
      </c>
      <c r="E227" s="10">
        <v>1</v>
      </c>
      <c r="F227" s="6">
        <v>0</v>
      </c>
      <c r="G227" s="6">
        <v>24</v>
      </c>
      <c r="H227" s="6">
        <v>0</v>
      </c>
      <c r="I227" s="11">
        <v>0.2</v>
      </c>
      <c r="J227">
        <v>1</v>
      </c>
    </row>
    <row r="228" spans="1:10" x14ac:dyDescent="0.45">
      <c r="A228" s="9">
        <v>279</v>
      </c>
      <c r="B228" s="6" t="s">
        <v>1585</v>
      </c>
      <c r="C228" s="12">
        <v>0.15</v>
      </c>
      <c r="D228" s="10">
        <v>0</v>
      </c>
      <c r="E228" s="10">
        <v>1</v>
      </c>
      <c r="F228" s="6">
        <v>0</v>
      </c>
      <c r="G228" s="6">
        <v>24</v>
      </c>
      <c r="H228" s="6">
        <v>0</v>
      </c>
      <c r="I228" s="11">
        <v>0.2</v>
      </c>
      <c r="J228">
        <v>1</v>
      </c>
    </row>
    <row r="229" spans="1:10" x14ac:dyDescent="0.45">
      <c r="A229" s="9">
        <v>280</v>
      </c>
      <c r="B229" s="6" t="s">
        <v>1586</v>
      </c>
      <c r="C229" s="12">
        <v>0.15</v>
      </c>
      <c r="D229" s="10">
        <v>0</v>
      </c>
      <c r="E229" s="10">
        <v>1</v>
      </c>
      <c r="F229" s="6">
        <v>0</v>
      </c>
      <c r="G229" s="6">
        <v>35</v>
      </c>
      <c r="H229" s="6">
        <v>0</v>
      </c>
      <c r="I229" s="11">
        <v>0</v>
      </c>
      <c r="J229">
        <v>1</v>
      </c>
    </row>
    <row r="230" spans="1:10" x14ac:dyDescent="0.45">
      <c r="A230" s="9">
        <v>281</v>
      </c>
      <c r="B230" s="6" t="s">
        <v>1587</v>
      </c>
      <c r="C230" s="12">
        <v>0.15</v>
      </c>
      <c r="D230" s="10">
        <v>0</v>
      </c>
      <c r="E230" s="10">
        <v>1</v>
      </c>
      <c r="F230" s="6">
        <v>0</v>
      </c>
      <c r="G230" s="6">
        <v>35</v>
      </c>
      <c r="H230" s="6">
        <v>0</v>
      </c>
      <c r="I230" s="11">
        <v>0</v>
      </c>
      <c r="J230">
        <v>1</v>
      </c>
    </row>
    <row r="231" spans="1:10" x14ac:dyDescent="0.45">
      <c r="A231" s="9">
        <v>282</v>
      </c>
      <c r="B231" s="6" t="s">
        <v>1588</v>
      </c>
      <c r="C231" s="12">
        <v>0.15</v>
      </c>
      <c r="D231" s="10">
        <v>0</v>
      </c>
      <c r="E231" s="10">
        <v>1</v>
      </c>
      <c r="F231" s="6">
        <v>0</v>
      </c>
      <c r="G231" s="6">
        <v>22</v>
      </c>
      <c r="H231" s="6">
        <v>0</v>
      </c>
      <c r="I231" s="11">
        <v>0</v>
      </c>
      <c r="J231">
        <v>1</v>
      </c>
    </row>
    <row r="232" spans="1:10" x14ac:dyDescent="0.45">
      <c r="A232" s="9">
        <v>283</v>
      </c>
      <c r="B232" s="6" t="s">
        <v>1589</v>
      </c>
      <c r="C232" s="12">
        <v>0.15</v>
      </c>
      <c r="D232" s="10">
        <v>0</v>
      </c>
      <c r="E232" s="10">
        <v>1</v>
      </c>
      <c r="F232" s="6">
        <v>0</v>
      </c>
      <c r="G232" s="6">
        <v>22</v>
      </c>
      <c r="H232" s="6">
        <v>0</v>
      </c>
      <c r="I232" s="11">
        <v>0.2</v>
      </c>
      <c r="J232">
        <v>1</v>
      </c>
    </row>
    <row r="233" spans="1:10" x14ac:dyDescent="0.45">
      <c r="A233" s="9">
        <v>284</v>
      </c>
      <c r="B233" s="6" t="s">
        <v>1590</v>
      </c>
      <c r="C233" s="12">
        <v>0.15</v>
      </c>
      <c r="D233" s="10">
        <v>0</v>
      </c>
      <c r="E233" s="10">
        <v>1</v>
      </c>
      <c r="F233" s="6">
        <v>0</v>
      </c>
      <c r="G233" s="6">
        <v>23</v>
      </c>
      <c r="H233" s="6">
        <v>0</v>
      </c>
      <c r="I233" s="11">
        <v>0.2</v>
      </c>
      <c r="J233">
        <v>1</v>
      </c>
    </row>
    <row r="234" spans="1:10" x14ac:dyDescent="0.45">
      <c r="A234" s="9">
        <v>285</v>
      </c>
      <c r="B234" s="6" t="s">
        <v>1591</v>
      </c>
      <c r="C234" s="12">
        <v>0</v>
      </c>
      <c r="D234" s="10">
        <v>1</v>
      </c>
      <c r="E234" s="10">
        <v>1</v>
      </c>
      <c r="F234" s="6">
        <v>0</v>
      </c>
      <c r="G234" s="6">
        <v>12</v>
      </c>
      <c r="H234" s="6">
        <v>0</v>
      </c>
      <c r="I234" s="11">
        <v>0</v>
      </c>
      <c r="J234">
        <v>1</v>
      </c>
    </row>
    <row r="235" spans="1:10" x14ac:dyDescent="0.45">
      <c r="A235" s="9">
        <v>286</v>
      </c>
      <c r="B235" s="6" t="s">
        <v>1592</v>
      </c>
      <c r="C235" s="12">
        <v>0.15</v>
      </c>
      <c r="D235" s="10">
        <v>0</v>
      </c>
      <c r="E235" s="10">
        <v>0</v>
      </c>
      <c r="F235" s="6">
        <v>0</v>
      </c>
      <c r="G235" s="6">
        <v>5</v>
      </c>
      <c r="H235" s="6">
        <v>0</v>
      </c>
      <c r="I235" s="11">
        <v>0</v>
      </c>
      <c r="J235">
        <v>1</v>
      </c>
    </row>
    <row r="236" spans="1:10" x14ac:dyDescent="0.45">
      <c r="A236" s="9">
        <v>287</v>
      </c>
      <c r="B236" s="6" t="s">
        <v>1593</v>
      </c>
      <c r="C236" s="12">
        <v>0</v>
      </c>
      <c r="D236" s="10">
        <v>1</v>
      </c>
      <c r="E236" s="10">
        <v>0</v>
      </c>
      <c r="F236" s="6">
        <v>0</v>
      </c>
      <c r="G236" s="6">
        <v>5</v>
      </c>
      <c r="H236" s="6">
        <v>0</v>
      </c>
      <c r="I236" s="11">
        <v>0</v>
      </c>
      <c r="J236">
        <v>1</v>
      </c>
    </row>
    <row r="237" spans="1:10" x14ac:dyDescent="0.45">
      <c r="A237" s="9">
        <v>288</v>
      </c>
      <c r="B237" s="6" t="s">
        <v>1594</v>
      </c>
      <c r="C237" s="12">
        <v>0.15</v>
      </c>
      <c r="D237" s="10">
        <v>0</v>
      </c>
      <c r="E237" s="10">
        <v>0</v>
      </c>
      <c r="F237" s="6">
        <v>0</v>
      </c>
      <c r="G237" s="6">
        <v>35</v>
      </c>
      <c r="H237" s="6">
        <v>0</v>
      </c>
      <c r="I237" s="11">
        <v>0</v>
      </c>
      <c r="J237">
        <v>1</v>
      </c>
    </row>
    <row r="238" spans="1:10" x14ac:dyDescent="0.45">
      <c r="A238" s="9">
        <v>289</v>
      </c>
      <c r="B238" s="6" t="s">
        <v>1595</v>
      </c>
      <c r="C238" s="12">
        <v>0.15</v>
      </c>
      <c r="D238" s="10">
        <v>0</v>
      </c>
      <c r="E238" s="10">
        <v>0</v>
      </c>
      <c r="F238" s="6">
        <v>0</v>
      </c>
      <c r="G238" s="6">
        <v>35</v>
      </c>
      <c r="H238" s="6">
        <v>0</v>
      </c>
      <c r="I238" s="11">
        <v>0</v>
      </c>
      <c r="J238">
        <v>1</v>
      </c>
    </row>
    <row r="239" spans="1:10" x14ac:dyDescent="0.45">
      <c r="A239" s="9">
        <v>290</v>
      </c>
      <c r="B239" s="6" t="s">
        <v>1596</v>
      </c>
      <c r="C239" s="12">
        <v>0.15</v>
      </c>
      <c r="D239" s="10">
        <v>0</v>
      </c>
      <c r="E239" s="10">
        <v>0</v>
      </c>
      <c r="F239" s="6">
        <v>0</v>
      </c>
      <c r="G239" s="6">
        <v>35</v>
      </c>
      <c r="H239" s="6">
        <v>0</v>
      </c>
      <c r="I239" s="11">
        <v>0</v>
      </c>
      <c r="J239">
        <v>1</v>
      </c>
    </row>
    <row r="240" spans="1:10" x14ac:dyDescent="0.45">
      <c r="A240" s="9">
        <v>291</v>
      </c>
      <c r="B240" s="6" t="s">
        <v>1597</v>
      </c>
      <c r="C240" s="12">
        <v>0.15</v>
      </c>
      <c r="D240" s="10">
        <v>0</v>
      </c>
      <c r="E240" s="10">
        <v>0</v>
      </c>
      <c r="F240" s="6">
        <v>0</v>
      </c>
      <c r="G240" s="6">
        <v>35</v>
      </c>
      <c r="H240" s="6">
        <v>0</v>
      </c>
      <c r="I240" s="11">
        <v>0</v>
      </c>
      <c r="J240">
        <v>1</v>
      </c>
    </row>
    <row r="241" spans="1:10" x14ac:dyDescent="0.45">
      <c r="A241" s="9">
        <v>292</v>
      </c>
      <c r="B241" s="6" t="s">
        <v>1598</v>
      </c>
      <c r="C241" s="12">
        <v>0</v>
      </c>
      <c r="D241" s="10">
        <v>1</v>
      </c>
      <c r="E241" s="10">
        <v>0</v>
      </c>
      <c r="F241" s="6">
        <v>0</v>
      </c>
      <c r="G241" s="6">
        <v>1</v>
      </c>
      <c r="H241" s="6">
        <v>0</v>
      </c>
      <c r="I241" s="11">
        <v>0</v>
      </c>
      <c r="J241">
        <v>1</v>
      </c>
    </row>
    <row r="242" spans="1:10" x14ac:dyDescent="0.45">
      <c r="A242" s="9">
        <v>293</v>
      </c>
      <c r="B242" s="6" t="s">
        <v>1599</v>
      </c>
      <c r="C242" s="12">
        <v>0</v>
      </c>
      <c r="D242" s="10">
        <v>1</v>
      </c>
      <c r="E242" s="10">
        <v>0</v>
      </c>
      <c r="F242" s="6">
        <v>0</v>
      </c>
      <c r="G242" s="6">
        <v>1</v>
      </c>
      <c r="H242" s="6">
        <v>0</v>
      </c>
      <c r="I242" s="11">
        <v>0</v>
      </c>
      <c r="J242">
        <v>1</v>
      </c>
    </row>
    <row r="243" spans="1:10" x14ac:dyDescent="0.45">
      <c r="A243" s="9">
        <v>294</v>
      </c>
      <c r="B243" s="6" t="s">
        <v>1600</v>
      </c>
      <c r="C243" s="12">
        <v>0</v>
      </c>
      <c r="D243" s="10">
        <v>1</v>
      </c>
      <c r="E243" s="10">
        <v>0</v>
      </c>
      <c r="F243" s="6">
        <v>0</v>
      </c>
      <c r="G243" s="6">
        <v>35</v>
      </c>
      <c r="H243" s="6">
        <v>0</v>
      </c>
      <c r="I243" s="11">
        <v>0</v>
      </c>
      <c r="J243">
        <v>1</v>
      </c>
    </row>
    <row r="244" spans="1:10" x14ac:dyDescent="0.45">
      <c r="A244" s="9">
        <v>295</v>
      </c>
      <c r="B244" s="6" t="s">
        <v>1601</v>
      </c>
      <c r="C244" s="12">
        <v>0</v>
      </c>
      <c r="D244" s="10">
        <v>1</v>
      </c>
      <c r="E244" s="10">
        <v>0</v>
      </c>
      <c r="F244" s="6">
        <v>0</v>
      </c>
      <c r="G244" s="6">
        <v>35</v>
      </c>
      <c r="H244" s="6">
        <v>0</v>
      </c>
      <c r="I244" s="11">
        <v>0</v>
      </c>
      <c r="J244">
        <v>1</v>
      </c>
    </row>
    <row r="245" spans="1:10" x14ac:dyDescent="0.45">
      <c r="A245" s="9">
        <v>296</v>
      </c>
      <c r="B245" s="6" t="s">
        <v>1602</v>
      </c>
      <c r="C245" s="12">
        <v>0</v>
      </c>
      <c r="D245" s="10">
        <v>1</v>
      </c>
      <c r="E245" s="10">
        <v>0</v>
      </c>
      <c r="F245" s="6">
        <v>0</v>
      </c>
      <c r="G245" s="6">
        <v>1</v>
      </c>
      <c r="H245" s="6">
        <v>0</v>
      </c>
      <c r="I245" s="11">
        <v>0</v>
      </c>
      <c r="J245">
        <v>1</v>
      </c>
    </row>
    <row r="246" spans="1:10" x14ac:dyDescent="0.45">
      <c r="A246" s="9">
        <v>297</v>
      </c>
      <c r="B246" s="6" t="s">
        <v>1603</v>
      </c>
      <c r="C246" s="12">
        <v>0.15</v>
      </c>
      <c r="D246" s="10">
        <v>0</v>
      </c>
      <c r="E246" s="10">
        <v>0</v>
      </c>
      <c r="F246" s="6">
        <v>0</v>
      </c>
      <c r="G246" s="6">
        <v>35</v>
      </c>
      <c r="H246" s="6">
        <v>0</v>
      </c>
      <c r="I246" s="11">
        <v>0</v>
      </c>
      <c r="J246">
        <v>1</v>
      </c>
    </row>
    <row r="247" spans="1:10" x14ac:dyDescent="0.45">
      <c r="A247" s="9">
        <v>298</v>
      </c>
      <c r="B247" s="6" t="s">
        <v>1604</v>
      </c>
      <c r="C247" s="12">
        <v>0.15</v>
      </c>
      <c r="D247" s="10">
        <v>0</v>
      </c>
      <c r="E247" s="10">
        <v>1</v>
      </c>
      <c r="F247" s="6">
        <v>0</v>
      </c>
      <c r="G247" s="6">
        <v>7</v>
      </c>
      <c r="H247" s="6">
        <v>0</v>
      </c>
      <c r="I247" s="11">
        <v>0.2</v>
      </c>
      <c r="J247">
        <v>1</v>
      </c>
    </row>
    <row r="248" spans="1:10" x14ac:dyDescent="0.45">
      <c r="A248" s="9">
        <v>299</v>
      </c>
      <c r="B248" s="6" t="s">
        <v>1605</v>
      </c>
      <c r="C248" s="12">
        <v>0.15</v>
      </c>
      <c r="D248" s="10">
        <v>0</v>
      </c>
      <c r="E248" s="10">
        <v>1</v>
      </c>
      <c r="F248" s="6">
        <v>0</v>
      </c>
      <c r="G248" s="6">
        <v>24</v>
      </c>
      <c r="H248" s="6">
        <v>0</v>
      </c>
      <c r="I248" s="11">
        <v>0.2</v>
      </c>
      <c r="J248">
        <v>1</v>
      </c>
    </row>
    <row r="249" spans="1:10" x14ac:dyDescent="0.45">
      <c r="A249" s="9">
        <v>300</v>
      </c>
      <c r="B249" s="6" t="s">
        <v>1606</v>
      </c>
      <c r="C249" s="12">
        <v>0.15</v>
      </c>
      <c r="D249" s="10">
        <v>0</v>
      </c>
      <c r="E249" s="10">
        <v>0</v>
      </c>
      <c r="F249" s="6">
        <v>0</v>
      </c>
      <c r="G249" s="6">
        <v>35</v>
      </c>
      <c r="H249" s="6">
        <v>0</v>
      </c>
      <c r="I249" s="11">
        <v>0</v>
      </c>
      <c r="J249">
        <v>1</v>
      </c>
    </row>
    <row r="250" spans="1:10" x14ac:dyDescent="0.45">
      <c r="A250" s="9">
        <v>301</v>
      </c>
      <c r="B250" s="6" t="s">
        <v>1607</v>
      </c>
      <c r="C250" s="12">
        <v>0.15</v>
      </c>
      <c r="D250" s="10">
        <v>0</v>
      </c>
      <c r="E250" s="10">
        <v>0</v>
      </c>
      <c r="F250" s="6">
        <v>0</v>
      </c>
      <c r="G250" s="6">
        <v>35</v>
      </c>
      <c r="H250" s="6">
        <v>0</v>
      </c>
      <c r="I250" s="11">
        <v>0</v>
      </c>
      <c r="J250">
        <v>1</v>
      </c>
    </row>
    <row r="251" spans="1:10" x14ac:dyDescent="0.45">
      <c r="A251" s="9">
        <v>302</v>
      </c>
      <c r="B251" s="6" t="s">
        <v>1608</v>
      </c>
      <c r="C251" s="12">
        <v>0.15</v>
      </c>
      <c r="D251" s="10">
        <v>0</v>
      </c>
      <c r="E251" s="10">
        <v>0</v>
      </c>
      <c r="F251" s="6">
        <v>0</v>
      </c>
      <c r="G251" s="6">
        <v>35</v>
      </c>
      <c r="H251" s="6">
        <v>0</v>
      </c>
      <c r="I251" s="11">
        <v>0</v>
      </c>
      <c r="J251">
        <v>1</v>
      </c>
    </row>
    <row r="252" spans="1:10" x14ac:dyDescent="0.45">
      <c r="A252" s="9">
        <v>303</v>
      </c>
      <c r="B252" s="6" t="s">
        <v>1609</v>
      </c>
      <c r="C252" s="12">
        <v>0</v>
      </c>
      <c r="D252" s="10">
        <v>1</v>
      </c>
      <c r="E252" s="10">
        <v>0</v>
      </c>
      <c r="F252" s="6">
        <v>0</v>
      </c>
      <c r="G252" s="6">
        <v>33</v>
      </c>
      <c r="H252" s="6">
        <v>0</v>
      </c>
      <c r="I252" s="11">
        <v>0</v>
      </c>
      <c r="J252">
        <v>1</v>
      </c>
    </row>
    <row r="253" spans="1:10" x14ac:dyDescent="0.45">
      <c r="A253" s="9">
        <v>304</v>
      </c>
      <c r="B253" s="6" t="s">
        <v>1610</v>
      </c>
      <c r="C253" s="12">
        <v>0</v>
      </c>
      <c r="D253" s="10">
        <v>1</v>
      </c>
      <c r="E253" s="10">
        <v>1</v>
      </c>
      <c r="F253" s="6">
        <v>0</v>
      </c>
      <c r="G253" s="6">
        <v>33</v>
      </c>
      <c r="H253" s="6">
        <v>0</v>
      </c>
      <c r="I253" s="11">
        <v>0</v>
      </c>
      <c r="J253">
        <v>1</v>
      </c>
    </row>
    <row r="254" spans="1:10" x14ac:dyDescent="0.45">
      <c r="A254" s="9">
        <v>305</v>
      </c>
      <c r="B254" s="6" t="s">
        <v>1611</v>
      </c>
      <c r="C254" s="12">
        <v>0</v>
      </c>
      <c r="D254" s="10">
        <v>1</v>
      </c>
      <c r="E254" s="10">
        <v>0</v>
      </c>
      <c r="F254" s="6">
        <v>0</v>
      </c>
      <c r="G254" s="6">
        <v>33</v>
      </c>
      <c r="H254" s="6">
        <v>0</v>
      </c>
      <c r="I254" s="11">
        <v>0</v>
      </c>
      <c r="J254">
        <v>1</v>
      </c>
    </row>
    <row r="255" spans="1:10" x14ac:dyDescent="0.45">
      <c r="A255" s="9">
        <v>306</v>
      </c>
      <c r="B255" s="6" t="s">
        <v>1612</v>
      </c>
      <c r="C255" s="12">
        <v>0</v>
      </c>
      <c r="D255" s="10">
        <v>1</v>
      </c>
      <c r="E255" s="10">
        <v>0</v>
      </c>
      <c r="F255" s="6">
        <v>0</v>
      </c>
      <c r="G255" s="6">
        <v>33</v>
      </c>
      <c r="H255" s="6">
        <v>0</v>
      </c>
      <c r="I255" s="11">
        <v>0</v>
      </c>
      <c r="J255">
        <v>1</v>
      </c>
    </row>
    <row r="256" spans="1:10" x14ac:dyDescent="0.45">
      <c r="A256" s="9">
        <v>307</v>
      </c>
      <c r="B256" s="6" t="s">
        <v>1613</v>
      </c>
      <c r="C256" s="12">
        <v>0</v>
      </c>
      <c r="D256" s="10">
        <v>1</v>
      </c>
      <c r="E256" s="10">
        <v>0</v>
      </c>
      <c r="F256" s="6">
        <v>0</v>
      </c>
      <c r="G256" s="6">
        <v>33</v>
      </c>
      <c r="H256" s="6">
        <v>0</v>
      </c>
      <c r="I256" s="11">
        <v>0</v>
      </c>
      <c r="J256">
        <v>1</v>
      </c>
    </row>
    <row r="257" spans="1:10" x14ac:dyDescent="0.45">
      <c r="A257" s="9">
        <v>308</v>
      </c>
      <c r="B257" s="6" t="s">
        <v>1614</v>
      </c>
      <c r="C257" s="12">
        <v>0</v>
      </c>
      <c r="D257" s="10">
        <v>1</v>
      </c>
      <c r="E257" s="10">
        <v>0</v>
      </c>
      <c r="F257" s="6">
        <v>0</v>
      </c>
      <c r="G257" s="6">
        <v>33</v>
      </c>
      <c r="H257" s="6">
        <v>0</v>
      </c>
      <c r="I257" s="11">
        <v>0</v>
      </c>
      <c r="J257">
        <v>1</v>
      </c>
    </row>
    <row r="258" spans="1:10" x14ac:dyDescent="0.45">
      <c r="A258" s="9">
        <v>309</v>
      </c>
      <c r="B258" s="6" t="s">
        <v>1615</v>
      </c>
      <c r="C258" s="12">
        <v>0</v>
      </c>
      <c r="D258" s="10">
        <v>1</v>
      </c>
      <c r="E258" s="10">
        <v>0</v>
      </c>
      <c r="F258" s="6">
        <v>0</v>
      </c>
      <c r="G258" s="6">
        <v>33</v>
      </c>
      <c r="H258" s="6">
        <v>0</v>
      </c>
      <c r="I258" s="11">
        <v>0</v>
      </c>
      <c r="J258">
        <v>1</v>
      </c>
    </row>
    <row r="259" spans="1:10" x14ac:dyDescent="0.45">
      <c r="A259" s="9">
        <v>310</v>
      </c>
      <c r="B259" s="6" t="s">
        <v>1616</v>
      </c>
      <c r="C259" s="12">
        <v>0</v>
      </c>
      <c r="D259" s="10">
        <v>1</v>
      </c>
      <c r="E259" s="10">
        <v>0</v>
      </c>
      <c r="F259" s="6">
        <v>0</v>
      </c>
      <c r="G259" s="6">
        <v>33</v>
      </c>
      <c r="H259" s="6">
        <v>0</v>
      </c>
      <c r="I259" s="11">
        <v>0</v>
      </c>
      <c r="J259">
        <v>1</v>
      </c>
    </row>
    <row r="260" spans="1:10" x14ac:dyDescent="0.45">
      <c r="A260" s="9">
        <v>311</v>
      </c>
      <c r="B260" s="6" t="s">
        <v>1617</v>
      </c>
      <c r="C260" s="12">
        <v>0</v>
      </c>
      <c r="D260" s="10">
        <v>1</v>
      </c>
      <c r="E260" s="10">
        <v>0</v>
      </c>
      <c r="F260" s="6">
        <v>0</v>
      </c>
      <c r="G260" s="6">
        <v>33</v>
      </c>
      <c r="H260" s="6">
        <v>0</v>
      </c>
      <c r="I260" s="11">
        <v>0</v>
      </c>
      <c r="J260">
        <v>1</v>
      </c>
    </row>
    <row r="261" spans="1:10" x14ac:dyDescent="0.45">
      <c r="A261" s="9">
        <v>312</v>
      </c>
      <c r="B261" s="6" t="s">
        <v>1618</v>
      </c>
      <c r="C261" s="12">
        <v>0</v>
      </c>
      <c r="D261" s="10">
        <v>1</v>
      </c>
      <c r="E261" s="10">
        <v>0</v>
      </c>
      <c r="F261" s="6">
        <v>0</v>
      </c>
      <c r="G261" s="6">
        <v>33</v>
      </c>
      <c r="H261" s="6">
        <v>0</v>
      </c>
      <c r="I261" s="11">
        <v>0</v>
      </c>
      <c r="J261">
        <v>1</v>
      </c>
    </row>
    <row r="262" spans="1:10" x14ac:dyDescent="0.45">
      <c r="A262" s="9">
        <v>313</v>
      </c>
      <c r="B262" s="6" t="s">
        <v>1619</v>
      </c>
      <c r="C262" s="12">
        <v>0</v>
      </c>
      <c r="D262" s="10">
        <v>1</v>
      </c>
      <c r="E262" s="10">
        <v>0</v>
      </c>
      <c r="F262" s="6">
        <v>0</v>
      </c>
      <c r="G262" s="6">
        <v>33</v>
      </c>
      <c r="H262" s="6">
        <v>0</v>
      </c>
      <c r="I262" s="11">
        <v>0</v>
      </c>
      <c r="J262">
        <v>1</v>
      </c>
    </row>
    <row r="263" spans="1:10" x14ac:dyDescent="0.45">
      <c r="A263" s="9">
        <v>314</v>
      </c>
      <c r="B263" s="6" t="s">
        <v>1620</v>
      </c>
      <c r="C263" s="12">
        <v>0</v>
      </c>
      <c r="D263" s="10">
        <v>1</v>
      </c>
      <c r="E263" s="10">
        <v>0</v>
      </c>
      <c r="F263" s="6">
        <v>0</v>
      </c>
      <c r="G263" s="6">
        <v>3</v>
      </c>
      <c r="H263" s="6">
        <v>0</v>
      </c>
      <c r="I263" s="11">
        <v>0</v>
      </c>
      <c r="J263">
        <v>1</v>
      </c>
    </row>
    <row r="264" spans="1:10" x14ac:dyDescent="0.45">
      <c r="A264" s="9">
        <v>315</v>
      </c>
      <c r="B264" s="6" t="s">
        <v>1621</v>
      </c>
      <c r="C264" s="12">
        <v>0</v>
      </c>
      <c r="D264" s="10">
        <v>1</v>
      </c>
      <c r="E264" s="10">
        <v>0</v>
      </c>
      <c r="F264" s="6">
        <v>0</v>
      </c>
      <c r="G264" s="6">
        <v>3</v>
      </c>
      <c r="H264" s="6">
        <v>0</v>
      </c>
      <c r="I264" s="11">
        <v>0</v>
      </c>
      <c r="J264">
        <v>1</v>
      </c>
    </row>
    <row r="265" spans="1:10" x14ac:dyDescent="0.45">
      <c r="A265" s="9">
        <v>316</v>
      </c>
      <c r="B265" s="6" t="s">
        <v>1622</v>
      </c>
      <c r="C265" s="12">
        <v>0.15</v>
      </c>
      <c r="D265" s="10">
        <v>0</v>
      </c>
      <c r="E265" s="10">
        <v>1</v>
      </c>
      <c r="F265" s="6">
        <v>0</v>
      </c>
      <c r="G265" s="6">
        <v>2</v>
      </c>
      <c r="H265" s="6">
        <v>0</v>
      </c>
      <c r="I265" s="11">
        <v>0.2</v>
      </c>
      <c r="J265">
        <v>1</v>
      </c>
    </row>
    <row r="266" spans="1:10" x14ac:dyDescent="0.45">
      <c r="A266" s="9">
        <v>317</v>
      </c>
      <c r="B266" s="6" t="s">
        <v>1623</v>
      </c>
      <c r="C266" s="12">
        <v>0.15</v>
      </c>
      <c r="D266" s="10">
        <v>0</v>
      </c>
      <c r="E266" s="10">
        <v>1</v>
      </c>
      <c r="F266" s="6">
        <v>0</v>
      </c>
      <c r="G266" s="6">
        <v>24</v>
      </c>
      <c r="H266" s="6">
        <v>0</v>
      </c>
      <c r="I266" s="11">
        <v>0.05</v>
      </c>
      <c r="J266">
        <v>1</v>
      </c>
    </row>
    <row r="267" spans="1:10" x14ac:dyDescent="0.45">
      <c r="A267" s="9">
        <v>318</v>
      </c>
      <c r="B267" s="6" t="s">
        <v>1624</v>
      </c>
      <c r="C267" s="12">
        <v>0.15</v>
      </c>
      <c r="D267" s="10">
        <v>0</v>
      </c>
      <c r="E267" s="10">
        <v>1</v>
      </c>
      <c r="F267" s="6">
        <v>0</v>
      </c>
      <c r="G267" s="6">
        <v>24</v>
      </c>
      <c r="H267" s="6">
        <v>0</v>
      </c>
      <c r="I267" s="11">
        <v>0.2</v>
      </c>
      <c r="J267">
        <v>1</v>
      </c>
    </row>
    <row r="268" spans="1:10" x14ac:dyDescent="0.45">
      <c r="A268" s="9">
        <v>319</v>
      </c>
      <c r="B268" s="6" t="s">
        <v>1625</v>
      </c>
      <c r="C268" s="12">
        <v>0.15</v>
      </c>
      <c r="D268" s="10">
        <v>0</v>
      </c>
      <c r="E268" s="10">
        <v>1</v>
      </c>
      <c r="F268" s="6">
        <v>0</v>
      </c>
      <c r="G268" s="6">
        <v>24</v>
      </c>
      <c r="H268" s="6">
        <v>0</v>
      </c>
      <c r="I268" s="11">
        <v>0.2</v>
      </c>
      <c r="J268">
        <v>1</v>
      </c>
    </row>
    <row r="269" spans="1:10" x14ac:dyDescent="0.45">
      <c r="A269" s="9">
        <v>320</v>
      </c>
      <c r="B269" s="6" t="s">
        <v>1626</v>
      </c>
      <c r="C269" s="12">
        <v>0.15</v>
      </c>
      <c r="D269" s="10">
        <v>0</v>
      </c>
      <c r="E269" s="10">
        <v>1</v>
      </c>
      <c r="F269" s="6">
        <v>0</v>
      </c>
      <c r="G269" s="6">
        <v>24</v>
      </c>
      <c r="H269" s="6">
        <v>0</v>
      </c>
      <c r="I269" s="11">
        <v>0.2</v>
      </c>
      <c r="J269">
        <v>1</v>
      </c>
    </row>
    <row r="270" spans="1:10" x14ac:dyDescent="0.45">
      <c r="A270" s="9">
        <v>321</v>
      </c>
      <c r="B270" s="6" t="s">
        <v>1627</v>
      </c>
      <c r="C270" s="12">
        <v>0.15</v>
      </c>
      <c r="D270" s="10">
        <v>0</v>
      </c>
      <c r="E270" s="10">
        <v>1</v>
      </c>
      <c r="F270" s="6">
        <v>0</v>
      </c>
      <c r="G270" s="6">
        <v>24</v>
      </c>
      <c r="H270" s="6">
        <v>0</v>
      </c>
      <c r="I270" s="11">
        <v>0.2</v>
      </c>
      <c r="J270">
        <v>1</v>
      </c>
    </row>
    <row r="271" spans="1:10" x14ac:dyDescent="0.45">
      <c r="A271" s="9">
        <v>322</v>
      </c>
      <c r="B271" s="6" t="s">
        <v>1628</v>
      </c>
      <c r="C271" s="12">
        <v>0.15</v>
      </c>
      <c r="D271" s="10">
        <v>0</v>
      </c>
      <c r="E271" s="10">
        <v>1</v>
      </c>
      <c r="F271" s="6">
        <v>0</v>
      </c>
      <c r="G271" s="6">
        <v>24</v>
      </c>
      <c r="H271" s="6">
        <v>0</v>
      </c>
      <c r="I271" s="11">
        <v>0.2</v>
      </c>
      <c r="J271">
        <v>1</v>
      </c>
    </row>
    <row r="272" spans="1:10" x14ac:dyDescent="0.45">
      <c r="A272" s="9">
        <v>323</v>
      </c>
      <c r="B272" s="6" t="s">
        <v>1629</v>
      </c>
      <c r="C272" s="12">
        <v>0.15</v>
      </c>
      <c r="D272" s="10">
        <v>0</v>
      </c>
      <c r="E272" s="10">
        <v>1</v>
      </c>
      <c r="F272" s="6">
        <v>0</v>
      </c>
      <c r="G272" s="6">
        <v>24</v>
      </c>
      <c r="H272" s="6">
        <v>0</v>
      </c>
      <c r="I272" s="11">
        <v>0.2</v>
      </c>
      <c r="J272">
        <v>1</v>
      </c>
    </row>
    <row r="273" spans="1:10" x14ac:dyDescent="0.45">
      <c r="A273" s="9">
        <v>324</v>
      </c>
      <c r="B273" s="6" t="s">
        <v>1630</v>
      </c>
      <c r="C273" s="12">
        <v>0.15</v>
      </c>
      <c r="D273" s="10">
        <v>0</v>
      </c>
      <c r="E273" s="10">
        <v>1</v>
      </c>
      <c r="F273" s="6">
        <v>0</v>
      </c>
      <c r="G273" s="6">
        <v>24</v>
      </c>
      <c r="H273" s="6">
        <v>0</v>
      </c>
      <c r="I273" s="11">
        <v>0.2</v>
      </c>
      <c r="J273">
        <v>1</v>
      </c>
    </row>
    <row r="274" spans="1:10" x14ac:dyDescent="0.45">
      <c r="A274" s="9">
        <v>325</v>
      </c>
      <c r="B274" s="6" t="s">
        <v>1631</v>
      </c>
      <c r="C274" s="12">
        <v>0.15</v>
      </c>
      <c r="D274" s="10">
        <v>0</v>
      </c>
      <c r="E274" s="10">
        <v>1</v>
      </c>
      <c r="F274" s="6">
        <v>0</v>
      </c>
      <c r="G274" s="6">
        <v>24</v>
      </c>
      <c r="H274" s="6">
        <v>0</v>
      </c>
      <c r="I274" s="11">
        <v>0.2</v>
      </c>
      <c r="J274">
        <v>1</v>
      </c>
    </row>
    <row r="275" spans="1:10" x14ac:dyDescent="0.45">
      <c r="A275" s="9">
        <v>326</v>
      </c>
      <c r="B275" s="6" t="s">
        <v>576</v>
      </c>
      <c r="C275" s="12">
        <v>0.15</v>
      </c>
      <c r="D275" s="10">
        <v>0</v>
      </c>
      <c r="E275" s="10">
        <v>1</v>
      </c>
      <c r="F275" s="6">
        <v>0</v>
      </c>
      <c r="G275" s="6">
        <v>22</v>
      </c>
      <c r="H275" s="6">
        <v>0</v>
      </c>
      <c r="I275" s="11">
        <v>0</v>
      </c>
      <c r="J275">
        <v>1</v>
      </c>
    </row>
    <row r="276" spans="1:10" x14ac:dyDescent="0.45">
      <c r="A276" s="9">
        <v>327</v>
      </c>
      <c r="B276" s="6" t="s">
        <v>1632</v>
      </c>
      <c r="C276" s="12">
        <v>0.15</v>
      </c>
      <c r="D276" s="10">
        <v>0</v>
      </c>
      <c r="E276" s="10">
        <v>1</v>
      </c>
      <c r="F276" s="6">
        <v>0</v>
      </c>
      <c r="G276" s="6">
        <v>22</v>
      </c>
      <c r="H276" s="6">
        <v>0</v>
      </c>
      <c r="I276" s="11">
        <v>0.2</v>
      </c>
      <c r="J276">
        <v>1</v>
      </c>
    </row>
    <row r="277" spans="1:10" x14ac:dyDescent="0.45">
      <c r="A277" s="9">
        <v>328</v>
      </c>
      <c r="B277" s="6" t="s">
        <v>1633</v>
      </c>
      <c r="C277" s="12">
        <v>0.15</v>
      </c>
      <c r="D277" s="10">
        <v>0</v>
      </c>
      <c r="E277" s="10">
        <v>1</v>
      </c>
      <c r="F277" s="6">
        <v>0</v>
      </c>
      <c r="G277" s="6">
        <v>33</v>
      </c>
      <c r="H277" s="6">
        <v>0</v>
      </c>
      <c r="I277" s="11">
        <v>0.2</v>
      </c>
      <c r="J277">
        <v>1</v>
      </c>
    </row>
    <row r="278" spans="1:10" x14ac:dyDescent="0.45">
      <c r="A278" s="9">
        <v>329</v>
      </c>
      <c r="B278" s="6" t="s">
        <v>1634</v>
      </c>
      <c r="C278" s="12">
        <v>0</v>
      </c>
      <c r="D278" s="10">
        <v>1</v>
      </c>
      <c r="E278" s="10">
        <v>1</v>
      </c>
      <c r="F278" s="6">
        <v>0</v>
      </c>
      <c r="G278" s="6">
        <v>33</v>
      </c>
      <c r="H278" s="6">
        <v>0</v>
      </c>
      <c r="I278" s="11">
        <v>0.2</v>
      </c>
      <c r="J278">
        <v>1</v>
      </c>
    </row>
    <row r="279" spans="1:10" x14ac:dyDescent="0.45">
      <c r="A279" s="9">
        <v>330</v>
      </c>
      <c r="B279" s="6" t="s">
        <v>1635</v>
      </c>
      <c r="C279" s="12">
        <v>0.15</v>
      </c>
      <c r="D279" s="10">
        <v>0</v>
      </c>
      <c r="E279" s="10">
        <v>1</v>
      </c>
      <c r="F279" s="6">
        <v>0</v>
      </c>
      <c r="G279" s="6">
        <v>2</v>
      </c>
      <c r="H279" s="6">
        <v>0</v>
      </c>
      <c r="I279" s="11">
        <v>0.05</v>
      </c>
      <c r="J279">
        <v>1</v>
      </c>
    </row>
    <row r="280" spans="1:10" x14ac:dyDescent="0.45">
      <c r="A280" s="9">
        <v>331</v>
      </c>
      <c r="B280" s="6" t="s">
        <v>1636</v>
      </c>
      <c r="C280" s="12">
        <v>0</v>
      </c>
      <c r="D280" s="10">
        <v>1</v>
      </c>
      <c r="E280" s="10">
        <v>0</v>
      </c>
      <c r="F280" s="6">
        <v>0</v>
      </c>
      <c r="G280" s="6">
        <v>33</v>
      </c>
      <c r="H280" s="6">
        <v>0</v>
      </c>
      <c r="I280" s="11">
        <v>0</v>
      </c>
      <c r="J280">
        <v>1</v>
      </c>
    </row>
    <row r="281" spans="1:10" x14ac:dyDescent="0.45">
      <c r="A281" s="9">
        <v>332</v>
      </c>
      <c r="B281" s="6" t="s">
        <v>1637</v>
      </c>
      <c r="C281" s="12">
        <v>0.15</v>
      </c>
      <c r="D281" s="10">
        <v>0</v>
      </c>
      <c r="E281" s="10">
        <v>1</v>
      </c>
      <c r="F281" s="6">
        <v>0</v>
      </c>
      <c r="G281" s="6">
        <v>24</v>
      </c>
      <c r="H281" s="6">
        <v>0</v>
      </c>
      <c r="I281" s="11">
        <v>0.2</v>
      </c>
      <c r="J281">
        <v>1</v>
      </c>
    </row>
    <row r="282" spans="1:10" x14ac:dyDescent="0.45">
      <c r="A282" s="9">
        <v>333</v>
      </c>
      <c r="B282" s="6" t="s">
        <v>1638</v>
      </c>
      <c r="C282" s="12">
        <v>0.15</v>
      </c>
      <c r="D282" s="10">
        <v>0</v>
      </c>
      <c r="E282" s="10">
        <v>1</v>
      </c>
      <c r="F282" s="6">
        <v>0</v>
      </c>
      <c r="G282" s="6">
        <v>23</v>
      </c>
      <c r="H282" s="6">
        <v>0</v>
      </c>
      <c r="I282" s="11">
        <v>0.2</v>
      </c>
      <c r="J282">
        <v>1</v>
      </c>
    </row>
    <row r="283" spans="1:10" x14ac:dyDescent="0.45">
      <c r="A283" s="9">
        <v>334</v>
      </c>
      <c r="B283" s="6" t="s">
        <v>1639</v>
      </c>
      <c r="C283" s="12">
        <v>0.15</v>
      </c>
      <c r="D283" s="10">
        <v>0</v>
      </c>
      <c r="E283" s="10">
        <v>0</v>
      </c>
      <c r="F283" s="6">
        <v>0</v>
      </c>
      <c r="G283" s="6">
        <v>23</v>
      </c>
      <c r="H283" s="6">
        <v>0</v>
      </c>
      <c r="I283" s="11">
        <v>0</v>
      </c>
      <c r="J283">
        <v>1</v>
      </c>
    </row>
    <row r="284" spans="1:10" x14ac:dyDescent="0.45">
      <c r="A284" s="9">
        <v>335</v>
      </c>
      <c r="B284" s="6" t="s">
        <v>1640</v>
      </c>
      <c r="C284" s="12">
        <v>0.15</v>
      </c>
      <c r="D284" s="10">
        <v>0</v>
      </c>
      <c r="E284" s="10">
        <v>0</v>
      </c>
      <c r="F284" s="6">
        <v>0</v>
      </c>
      <c r="G284" s="6">
        <v>31</v>
      </c>
      <c r="H284" s="6">
        <v>0</v>
      </c>
      <c r="I284" s="11">
        <v>0</v>
      </c>
      <c r="J284">
        <v>1</v>
      </c>
    </row>
    <row r="285" spans="1:10" x14ac:dyDescent="0.45">
      <c r="A285" s="9">
        <v>336</v>
      </c>
      <c r="B285" s="6" t="s">
        <v>1641</v>
      </c>
      <c r="C285" s="12">
        <v>0.15</v>
      </c>
      <c r="D285" s="10">
        <v>0</v>
      </c>
      <c r="E285" s="10">
        <v>0</v>
      </c>
      <c r="F285" s="6">
        <v>0</v>
      </c>
      <c r="G285" s="6">
        <v>29</v>
      </c>
      <c r="H285" s="6">
        <v>0</v>
      </c>
      <c r="I285" s="11">
        <v>0</v>
      </c>
      <c r="J285">
        <v>1</v>
      </c>
    </row>
    <row r="286" spans="1:10" x14ac:dyDescent="0.45">
      <c r="A286" s="9">
        <v>337</v>
      </c>
      <c r="B286" s="6" t="s">
        <v>1642</v>
      </c>
      <c r="C286" s="12">
        <v>0.15</v>
      </c>
      <c r="D286" s="10">
        <v>0</v>
      </c>
      <c r="E286" s="10">
        <v>0</v>
      </c>
      <c r="F286" s="6">
        <v>0</v>
      </c>
      <c r="G286" s="6">
        <v>29</v>
      </c>
      <c r="H286" s="6">
        <v>0</v>
      </c>
      <c r="I286" s="11">
        <v>0</v>
      </c>
      <c r="J286">
        <v>1</v>
      </c>
    </row>
    <row r="287" spans="1:10" x14ac:dyDescent="0.45">
      <c r="A287" s="9">
        <v>338</v>
      </c>
      <c r="B287" s="6" t="s">
        <v>1643</v>
      </c>
      <c r="C287" s="12">
        <v>0.15</v>
      </c>
      <c r="D287" s="10">
        <v>0</v>
      </c>
      <c r="E287" s="10">
        <v>0</v>
      </c>
      <c r="F287" s="6">
        <v>0</v>
      </c>
      <c r="G287" s="6">
        <v>29</v>
      </c>
      <c r="H287" s="6">
        <v>0</v>
      </c>
      <c r="I287" s="11">
        <v>0</v>
      </c>
      <c r="J287">
        <v>1</v>
      </c>
    </row>
    <row r="288" spans="1:10" x14ac:dyDescent="0.45">
      <c r="A288" s="9">
        <v>339</v>
      </c>
      <c r="B288" s="6" t="s">
        <v>1644</v>
      </c>
      <c r="C288" s="12">
        <v>0.15</v>
      </c>
      <c r="D288" s="10">
        <v>0</v>
      </c>
      <c r="E288" s="10">
        <v>0</v>
      </c>
      <c r="F288" s="6">
        <v>0</v>
      </c>
      <c r="G288" s="6">
        <v>29</v>
      </c>
      <c r="H288" s="6">
        <v>0</v>
      </c>
      <c r="I288" s="11">
        <v>0</v>
      </c>
      <c r="J288">
        <v>1</v>
      </c>
    </row>
    <row r="289" spans="1:10" x14ac:dyDescent="0.45">
      <c r="A289" s="9">
        <v>340</v>
      </c>
      <c r="B289" s="6" t="s">
        <v>1645</v>
      </c>
      <c r="C289" s="12">
        <v>0.15</v>
      </c>
      <c r="D289" s="10">
        <v>0</v>
      </c>
      <c r="E289" s="10">
        <v>0</v>
      </c>
      <c r="F289" s="6">
        <v>0</v>
      </c>
      <c r="G289" s="6">
        <v>29</v>
      </c>
      <c r="H289" s="6">
        <v>0</v>
      </c>
      <c r="I289" s="11">
        <v>0</v>
      </c>
      <c r="J289">
        <v>1</v>
      </c>
    </row>
    <row r="290" spans="1:10" x14ac:dyDescent="0.45">
      <c r="A290" s="9">
        <v>341</v>
      </c>
      <c r="B290" s="6" t="s">
        <v>1646</v>
      </c>
      <c r="C290" s="12">
        <v>0.15</v>
      </c>
      <c r="D290" s="10">
        <v>0</v>
      </c>
      <c r="E290" s="10">
        <v>0</v>
      </c>
      <c r="F290" s="6">
        <v>0</v>
      </c>
      <c r="G290" s="6">
        <v>29</v>
      </c>
      <c r="H290" s="6">
        <v>0</v>
      </c>
      <c r="I290" s="11">
        <v>0</v>
      </c>
      <c r="J290">
        <v>1</v>
      </c>
    </row>
    <row r="291" spans="1:10" x14ac:dyDescent="0.45">
      <c r="A291" s="9">
        <v>342</v>
      </c>
      <c r="B291" s="6" t="s">
        <v>1647</v>
      </c>
      <c r="C291" s="12">
        <v>0</v>
      </c>
      <c r="D291" s="10">
        <v>1</v>
      </c>
      <c r="E291" s="10">
        <v>0</v>
      </c>
      <c r="F291" s="6">
        <v>0</v>
      </c>
      <c r="G291" s="6">
        <v>27</v>
      </c>
      <c r="H291" s="6">
        <v>0</v>
      </c>
      <c r="I291" s="11">
        <v>0</v>
      </c>
      <c r="J291">
        <v>1</v>
      </c>
    </row>
    <row r="292" spans="1:10" x14ac:dyDescent="0.45">
      <c r="A292" s="9">
        <v>343</v>
      </c>
      <c r="B292" s="6" t="s">
        <v>1648</v>
      </c>
      <c r="C292" s="12">
        <v>0</v>
      </c>
      <c r="D292" s="10">
        <v>1</v>
      </c>
      <c r="E292" s="10">
        <v>1</v>
      </c>
      <c r="F292" s="6">
        <v>0</v>
      </c>
      <c r="G292" s="6">
        <v>1</v>
      </c>
      <c r="H292" s="6">
        <v>0</v>
      </c>
      <c r="I292" s="11">
        <v>0.2</v>
      </c>
      <c r="J292">
        <v>1</v>
      </c>
    </row>
    <row r="293" spans="1:10" x14ac:dyDescent="0.45">
      <c r="A293" s="9">
        <v>344</v>
      </c>
      <c r="B293" s="6" t="s">
        <v>1649</v>
      </c>
      <c r="C293" s="12">
        <v>0.15</v>
      </c>
      <c r="D293" s="10">
        <v>0</v>
      </c>
      <c r="E293" s="10">
        <v>0</v>
      </c>
      <c r="F293" s="6">
        <v>0</v>
      </c>
      <c r="G293" s="6">
        <v>29</v>
      </c>
      <c r="H293" s="6">
        <v>0</v>
      </c>
      <c r="I293" s="11">
        <v>0</v>
      </c>
      <c r="J293">
        <v>1</v>
      </c>
    </row>
    <row r="294" spans="1:10" x14ac:dyDescent="0.45">
      <c r="A294" s="9">
        <v>345</v>
      </c>
      <c r="B294" s="6" t="s">
        <v>1650</v>
      </c>
      <c r="C294" s="12">
        <v>0.15</v>
      </c>
      <c r="D294" s="10">
        <v>0</v>
      </c>
      <c r="E294" s="10">
        <v>1</v>
      </c>
      <c r="F294" s="6">
        <v>0</v>
      </c>
      <c r="G294" s="6">
        <v>31</v>
      </c>
      <c r="H294" s="6">
        <v>0</v>
      </c>
      <c r="I294" s="11">
        <v>0.2</v>
      </c>
      <c r="J294">
        <v>1</v>
      </c>
    </row>
    <row r="295" spans="1:10" x14ac:dyDescent="0.45">
      <c r="A295" s="9">
        <v>346</v>
      </c>
      <c r="B295" s="6" t="s">
        <v>1651</v>
      </c>
      <c r="C295" s="12">
        <v>0.15</v>
      </c>
      <c r="D295" s="10">
        <v>0</v>
      </c>
      <c r="E295" s="10">
        <v>1</v>
      </c>
      <c r="F295" s="6">
        <v>0</v>
      </c>
      <c r="G295" s="6">
        <v>33</v>
      </c>
      <c r="H295" s="6">
        <v>0</v>
      </c>
      <c r="I295" s="11">
        <v>0.2</v>
      </c>
      <c r="J295">
        <v>1</v>
      </c>
    </row>
    <row r="296" spans="1:10" x14ac:dyDescent="0.45">
      <c r="A296" s="9">
        <v>347</v>
      </c>
      <c r="B296" s="6" t="s">
        <v>1652</v>
      </c>
      <c r="C296" s="12">
        <v>0</v>
      </c>
      <c r="D296" s="10">
        <v>1</v>
      </c>
      <c r="E296" s="10">
        <v>0</v>
      </c>
      <c r="F296" s="6">
        <v>0</v>
      </c>
      <c r="G296" s="6">
        <v>1</v>
      </c>
      <c r="H296" s="6">
        <v>0</v>
      </c>
      <c r="I296" s="11">
        <v>0</v>
      </c>
      <c r="J296">
        <v>1</v>
      </c>
    </row>
    <row r="297" spans="1:10" x14ac:dyDescent="0.45">
      <c r="A297" s="9">
        <v>348</v>
      </c>
      <c r="B297" s="6" t="s">
        <v>1653</v>
      </c>
      <c r="C297" s="12">
        <v>0.15</v>
      </c>
      <c r="D297" s="10">
        <v>0</v>
      </c>
      <c r="E297" s="10">
        <v>1</v>
      </c>
      <c r="F297" s="6">
        <v>0</v>
      </c>
      <c r="G297" s="6">
        <v>19</v>
      </c>
      <c r="H297" s="6">
        <v>0</v>
      </c>
      <c r="I297" s="11">
        <v>0.2</v>
      </c>
      <c r="J297">
        <v>1</v>
      </c>
    </row>
    <row r="298" spans="1:10" x14ac:dyDescent="0.45">
      <c r="A298" s="9">
        <v>349</v>
      </c>
      <c r="B298" s="6" t="s">
        <v>1654</v>
      </c>
      <c r="C298" s="12">
        <v>0.15</v>
      </c>
      <c r="D298" s="10">
        <v>0</v>
      </c>
      <c r="E298" s="10">
        <v>1</v>
      </c>
      <c r="F298" s="6">
        <v>0</v>
      </c>
      <c r="G298" s="6">
        <v>19</v>
      </c>
      <c r="H298" s="6">
        <v>0</v>
      </c>
      <c r="I298" s="11">
        <v>0.2</v>
      </c>
      <c r="J298">
        <v>1</v>
      </c>
    </row>
    <row r="299" spans="1:10" x14ac:dyDescent="0.45">
      <c r="A299" s="9">
        <v>350</v>
      </c>
      <c r="B299" s="6" t="s">
        <v>1655</v>
      </c>
      <c r="C299" s="12">
        <v>0</v>
      </c>
      <c r="D299" s="10">
        <v>1</v>
      </c>
      <c r="E299" s="10">
        <v>0</v>
      </c>
      <c r="F299" s="6">
        <v>0</v>
      </c>
      <c r="G299" s="6">
        <v>6</v>
      </c>
      <c r="H299" s="6">
        <v>0</v>
      </c>
      <c r="I299" s="11">
        <v>0</v>
      </c>
      <c r="J299">
        <v>1</v>
      </c>
    </row>
    <row r="300" spans="1:10" x14ac:dyDescent="0.45">
      <c r="A300" s="9">
        <v>351</v>
      </c>
      <c r="B300" s="6" t="s">
        <v>1656</v>
      </c>
      <c r="C300" s="12">
        <v>0.15</v>
      </c>
      <c r="D300" s="10">
        <v>0</v>
      </c>
      <c r="E300" s="10">
        <v>0</v>
      </c>
      <c r="F300" s="6">
        <v>0</v>
      </c>
      <c r="G300" s="6">
        <v>3</v>
      </c>
      <c r="H300" s="6">
        <v>0</v>
      </c>
      <c r="I300" s="11">
        <v>0</v>
      </c>
      <c r="J300">
        <v>1</v>
      </c>
    </row>
    <row r="301" spans="1:10" x14ac:dyDescent="0.45">
      <c r="A301" s="9">
        <v>352</v>
      </c>
      <c r="B301" s="6" t="s">
        <v>1657</v>
      </c>
      <c r="C301" s="12">
        <v>0.15</v>
      </c>
      <c r="D301" s="10">
        <v>0</v>
      </c>
      <c r="E301" s="10">
        <v>0</v>
      </c>
      <c r="F301" s="6">
        <v>0</v>
      </c>
      <c r="G301" s="6">
        <v>3</v>
      </c>
      <c r="H301" s="6">
        <v>0</v>
      </c>
      <c r="I301" s="11">
        <v>0</v>
      </c>
      <c r="J301">
        <v>1</v>
      </c>
    </row>
    <row r="302" spans="1:10" x14ac:dyDescent="0.45">
      <c r="A302" s="9">
        <v>353</v>
      </c>
      <c r="B302" s="6" t="s">
        <v>1658</v>
      </c>
      <c r="C302" s="12">
        <v>0.15</v>
      </c>
      <c r="D302" s="10">
        <v>0</v>
      </c>
      <c r="E302" s="10">
        <v>0</v>
      </c>
      <c r="F302" s="6">
        <v>0</v>
      </c>
      <c r="G302" s="6">
        <v>3</v>
      </c>
      <c r="H302" s="6">
        <v>0</v>
      </c>
      <c r="I302" s="11">
        <v>0</v>
      </c>
      <c r="J302">
        <v>1</v>
      </c>
    </row>
    <row r="303" spans="1:10" x14ac:dyDescent="0.45">
      <c r="A303" s="9">
        <v>354</v>
      </c>
      <c r="B303" s="6" t="s">
        <v>1659</v>
      </c>
      <c r="C303" s="12">
        <v>0.15</v>
      </c>
      <c r="D303" s="10">
        <v>0</v>
      </c>
      <c r="E303" s="10">
        <v>0</v>
      </c>
      <c r="F303" s="6">
        <v>0</v>
      </c>
      <c r="G303" s="6">
        <v>3</v>
      </c>
      <c r="H303" s="6">
        <v>0</v>
      </c>
      <c r="I303" s="11">
        <v>0</v>
      </c>
      <c r="J303">
        <v>1</v>
      </c>
    </row>
    <row r="304" spans="1:10" x14ac:dyDescent="0.45">
      <c r="A304" s="9">
        <v>355</v>
      </c>
      <c r="B304" s="6" t="s">
        <v>1660</v>
      </c>
      <c r="C304" s="12">
        <v>0.15</v>
      </c>
      <c r="D304" s="10">
        <v>0</v>
      </c>
      <c r="E304" s="10">
        <v>0</v>
      </c>
      <c r="F304" s="6">
        <v>0</v>
      </c>
      <c r="G304" s="6">
        <v>5</v>
      </c>
      <c r="H304" s="6">
        <v>0</v>
      </c>
      <c r="I304" s="11">
        <v>0.2</v>
      </c>
      <c r="J304">
        <v>1</v>
      </c>
    </row>
    <row r="305" spans="1:10" x14ac:dyDescent="0.45">
      <c r="A305" s="9">
        <v>356</v>
      </c>
      <c r="B305" s="6" t="s">
        <v>1661</v>
      </c>
      <c r="C305" s="12">
        <v>0.15</v>
      </c>
      <c r="D305" s="10">
        <v>0</v>
      </c>
      <c r="E305" s="10">
        <v>1</v>
      </c>
      <c r="F305" s="6">
        <v>0</v>
      </c>
      <c r="G305" s="6">
        <v>5</v>
      </c>
      <c r="H305" s="6">
        <v>0</v>
      </c>
      <c r="I305" s="11">
        <v>0.2</v>
      </c>
      <c r="J305">
        <v>1</v>
      </c>
    </row>
    <row r="306" spans="1:10" x14ac:dyDescent="0.45">
      <c r="A306" s="9">
        <v>357</v>
      </c>
      <c r="B306" s="6" t="s">
        <v>1662</v>
      </c>
      <c r="C306" s="12">
        <v>0.15</v>
      </c>
      <c r="D306" s="10">
        <v>0</v>
      </c>
      <c r="E306" s="10">
        <v>0</v>
      </c>
      <c r="F306" s="6">
        <v>0</v>
      </c>
      <c r="G306" s="6">
        <v>31</v>
      </c>
      <c r="H306" s="6">
        <v>0</v>
      </c>
      <c r="I306" s="11">
        <v>0</v>
      </c>
      <c r="J306">
        <v>1</v>
      </c>
    </row>
    <row r="307" spans="1:10" x14ac:dyDescent="0.45">
      <c r="A307" s="9">
        <v>358</v>
      </c>
      <c r="B307" s="6" t="s">
        <v>1663</v>
      </c>
      <c r="C307" s="12">
        <v>0.15</v>
      </c>
      <c r="D307" s="10">
        <v>0</v>
      </c>
      <c r="E307" s="10">
        <v>1</v>
      </c>
      <c r="F307" s="6">
        <v>0</v>
      </c>
      <c r="G307" s="6">
        <v>17</v>
      </c>
      <c r="H307" s="6">
        <v>0</v>
      </c>
      <c r="I307" s="11">
        <v>0.2</v>
      </c>
      <c r="J307">
        <v>1</v>
      </c>
    </row>
    <row r="308" spans="1:10" x14ac:dyDescent="0.45">
      <c r="A308" s="9">
        <v>359</v>
      </c>
      <c r="B308" s="6" t="s">
        <v>1664</v>
      </c>
      <c r="C308" s="12">
        <v>0.15</v>
      </c>
      <c r="D308" s="10">
        <v>0</v>
      </c>
      <c r="E308" s="10">
        <v>1</v>
      </c>
      <c r="F308" s="6">
        <v>0</v>
      </c>
      <c r="G308" s="6">
        <v>17</v>
      </c>
      <c r="H308" s="6">
        <v>0</v>
      </c>
      <c r="I308" s="11">
        <v>0.1</v>
      </c>
      <c r="J308">
        <v>1</v>
      </c>
    </row>
    <row r="309" spans="1:10" x14ac:dyDescent="0.45">
      <c r="A309" s="9">
        <v>360</v>
      </c>
      <c r="B309" s="6" t="s">
        <v>1665</v>
      </c>
      <c r="C309" s="12">
        <v>0.15</v>
      </c>
      <c r="D309" s="10">
        <v>0</v>
      </c>
      <c r="E309" s="10">
        <v>1</v>
      </c>
      <c r="F309" s="6">
        <v>0</v>
      </c>
      <c r="G309" s="6">
        <v>17</v>
      </c>
      <c r="H309" s="6">
        <v>0</v>
      </c>
      <c r="I309" s="11">
        <v>0.2</v>
      </c>
      <c r="J309">
        <v>1</v>
      </c>
    </row>
    <row r="310" spans="1:10" x14ac:dyDescent="0.45">
      <c r="A310" s="9">
        <v>361</v>
      </c>
      <c r="B310" s="6" t="s">
        <v>1666</v>
      </c>
      <c r="C310" s="12">
        <v>0.15</v>
      </c>
      <c r="D310" s="10">
        <v>0</v>
      </c>
      <c r="E310" s="10">
        <v>1</v>
      </c>
      <c r="F310" s="6">
        <v>0</v>
      </c>
      <c r="G310" s="6">
        <v>24</v>
      </c>
      <c r="H310" s="6">
        <v>0</v>
      </c>
      <c r="I310" s="11">
        <v>0.2</v>
      </c>
      <c r="J310">
        <v>1</v>
      </c>
    </row>
    <row r="311" spans="1:10" x14ac:dyDescent="0.45">
      <c r="A311" s="9">
        <v>362</v>
      </c>
      <c r="B311" s="6" t="s">
        <v>1667</v>
      </c>
      <c r="C311" s="12">
        <v>0.15</v>
      </c>
      <c r="D311" s="10">
        <v>0</v>
      </c>
      <c r="E311" s="10">
        <v>1</v>
      </c>
      <c r="F311" s="6">
        <v>0</v>
      </c>
      <c r="G311" s="6">
        <v>31</v>
      </c>
      <c r="H311" s="6">
        <v>0</v>
      </c>
      <c r="I311" s="11">
        <v>0</v>
      </c>
      <c r="J311">
        <v>1</v>
      </c>
    </row>
    <row r="312" spans="1:10" x14ac:dyDescent="0.45">
      <c r="A312" s="9">
        <v>363</v>
      </c>
      <c r="B312" s="6" t="s">
        <v>1668</v>
      </c>
      <c r="C312" s="12">
        <v>0.15</v>
      </c>
      <c r="D312" s="10">
        <v>0</v>
      </c>
      <c r="E312" s="10">
        <v>1</v>
      </c>
      <c r="F312" s="6">
        <v>0</v>
      </c>
      <c r="G312" s="6">
        <v>31</v>
      </c>
      <c r="H312" s="6">
        <v>0</v>
      </c>
      <c r="I312" s="11">
        <v>0</v>
      </c>
      <c r="J312">
        <v>1</v>
      </c>
    </row>
    <row r="313" spans="1:10" x14ac:dyDescent="0.45">
      <c r="A313" s="9">
        <v>364</v>
      </c>
      <c r="B313" s="6" t="s">
        <v>1669</v>
      </c>
      <c r="C313" s="12">
        <v>0.15</v>
      </c>
      <c r="D313" s="10">
        <v>0</v>
      </c>
      <c r="E313" s="10">
        <v>1</v>
      </c>
      <c r="F313" s="6">
        <v>0</v>
      </c>
      <c r="G313" s="6">
        <v>31</v>
      </c>
      <c r="H313" s="6">
        <v>0</v>
      </c>
      <c r="I313" s="11">
        <v>0</v>
      </c>
      <c r="J313">
        <v>1</v>
      </c>
    </row>
    <row r="314" spans="1:10" x14ac:dyDescent="0.45">
      <c r="A314" s="9">
        <v>365</v>
      </c>
      <c r="B314" s="6" t="s">
        <v>1670</v>
      </c>
      <c r="C314" s="12">
        <v>0.15</v>
      </c>
      <c r="D314" s="10">
        <v>0</v>
      </c>
      <c r="E314" s="10">
        <v>1</v>
      </c>
      <c r="F314" s="6">
        <v>0</v>
      </c>
      <c r="G314" s="6">
        <v>31</v>
      </c>
      <c r="H314" s="6">
        <v>0</v>
      </c>
      <c r="I314" s="11">
        <v>0</v>
      </c>
      <c r="J314">
        <v>1</v>
      </c>
    </row>
    <row r="315" spans="1:10" x14ac:dyDescent="0.45">
      <c r="A315" s="9">
        <v>366</v>
      </c>
      <c r="B315" s="6" t="s">
        <v>1671</v>
      </c>
      <c r="C315" s="12">
        <v>0.15</v>
      </c>
      <c r="D315" s="10">
        <v>0</v>
      </c>
      <c r="E315" s="10">
        <v>1</v>
      </c>
      <c r="F315" s="6">
        <v>0</v>
      </c>
      <c r="G315" s="6">
        <v>19</v>
      </c>
      <c r="H315" s="6">
        <v>0</v>
      </c>
      <c r="I315" s="11">
        <v>0.2</v>
      </c>
      <c r="J315">
        <v>1</v>
      </c>
    </row>
    <row r="316" spans="1:10" x14ac:dyDescent="0.45">
      <c r="A316" s="9">
        <v>367</v>
      </c>
      <c r="B316" s="6" t="s">
        <v>1672</v>
      </c>
      <c r="C316" s="12">
        <v>0.15</v>
      </c>
      <c r="D316" s="10">
        <v>0</v>
      </c>
      <c r="E316" s="10">
        <v>0</v>
      </c>
      <c r="F316" s="6">
        <v>0</v>
      </c>
      <c r="G316" s="6">
        <v>19</v>
      </c>
      <c r="H316" s="6">
        <v>0</v>
      </c>
      <c r="I316" s="11">
        <v>0.2</v>
      </c>
      <c r="J316">
        <v>1</v>
      </c>
    </row>
    <row r="317" spans="1:10" x14ac:dyDescent="0.45">
      <c r="A317" s="9">
        <v>368</v>
      </c>
      <c r="B317" s="6" t="s">
        <v>1673</v>
      </c>
      <c r="C317" s="12">
        <v>0</v>
      </c>
      <c r="D317" s="10">
        <v>1</v>
      </c>
      <c r="E317" s="10">
        <v>0</v>
      </c>
      <c r="F317" s="6">
        <v>0</v>
      </c>
      <c r="G317" s="6">
        <v>5</v>
      </c>
      <c r="H317" s="6">
        <v>0</v>
      </c>
      <c r="I317" s="11">
        <v>0</v>
      </c>
      <c r="J317">
        <v>1</v>
      </c>
    </row>
    <row r="318" spans="1:10" x14ac:dyDescent="0.45">
      <c r="A318" s="9">
        <v>369</v>
      </c>
      <c r="B318" s="6" t="s">
        <v>1674</v>
      </c>
      <c r="C318" s="12">
        <v>0</v>
      </c>
      <c r="D318" s="10">
        <v>1</v>
      </c>
      <c r="E318" s="10">
        <v>0</v>
      </c>
      <c r="F318" s="6">
        <v>0</v>
      </c>
      <c r="G318" s="6">
        <v>5</v>
      </c>
      <c r="H318" s="6">
        <v>0</v>
      </c>
      <c r="I318" s="11">
        <v>0</v>
      </c>
      <c r="J318">
        <v>1</v>
      </c>
    </row>
    <row r="319" spans="1:10" x14ac:dyDescent="0.45">
      <c r="A319" s="9">
        <v>370</v>
      </c>
      <c r="B319" s="6" t="s">
        <v>1675</v>
      </c>
      <c r="C319" s="12">
        <v>0</v>
      </c>
      <c r="D319" s="10">
        <v>1</v>
      </c>
      <c r="E319" s="10">
        <v>0</v>
      </c>
      <c r="F319" s="6">
        <v>0</v>
      </c>
      <c r="G319" s="6">
        <v>1</v>
      </c>
      <c r="H319" s="6">
        <v>0</v>
      </c>
      <c r="I319" s="11">
        <v>0.1</v>
      </c>
      <c r="J319">
        <v>1</v>
      </c>
    </row>
    <row r="320" spans="1:10" x14ac:dyDescent="0.45">
      <c r="A320" s="9">
        <v>371</v>
      </c>
      <c r="B320" s="6" t="s">
        <v>1676</v>
      </c>
      <c r="C320" s="12">
        <v>0</v>
      </c>
      <c r="D320" s="10">
        <v>1</v>
      </c>
      <c r="E320" s="10">
        <v>0</v>
      </c>
      <c r="F320" s="6">
        <v>0</v>
      </c>
      <c r="G320" s="6">
        <v>5</v>
      </c>
      <c r="H320" s="6">
        <v>0</v>
      </c>
      <c r="I320" s="11">
        <v>0</v>
      </c>
      <c r="J320">
        <v>1</v>
      </c>
    </row>
    <row r="321" spans="1:10" x14ac:dyDescent="0.45">
      <c r="A321" s="9">
        <v>372</v>
      </c>
      <c r="B321" s="6" t="s">
        <v>1677</v>
      </c>
      <c r="C321" s="12">
        <v>0</v>
      </c>
      <c r="D321" s="10">
        <v>1</v>
      </c>
      <c r="E321" s="10">
        <v>0</v>
      </c>
      <c r="F321" s="6">
        <v>0</v>
      </c>
      <c r="G321" s="6">
        <v>5</v>
      </c>
      <c r="H321" s="6">
        <v>0</v>
      </c>
      <c r="I321" s="11">
        <v>0</v>
      </c>
      <c r="J321">
        <v>1</v>
      </c>
    </row>
    <row r="322" spans="1:10" x14ac:dyDescent="0.45">
      <c r="A322" s="9">
        <v>373</v>
      </c>
      <c r="B322" s="6" t="s">
        <v>1678</v>
      </c>
      <c r="C322" s="12">
        <v>0</v>
      </c>
      <c r="D322" s="10">
        <v>1</v>
      </c>
      <c r="E322" s="10">
        <v>0</v>
      </c>
      <c r="F322" s="6">
        <v>0</v>
      </c>
      <c r="G322" s="6">
        <v>2</v>
      </c>
      <c r="H322" s="6">
        <v>0</v>
      </c>
      <c r="I322" s="11">
        <v>0</v>
      </c>
      <c r="J322">
        <v>1</v>
      </c>
    </row>
    <row r="323" spans="1:10" x14ac:dyDescent="0.45">
      <c r="A323" s="9">
        <v>374</v>
      </c>
      <c r="B323" s="6" t="s">
        <v>1679</v>
      </c>
      <c r="C323" s="12">
        <v>0</v>
      </c>
      <c r="D323" s="10">
        <v>1</v>
      </c>
      <c r="E323" s="10">
        <v>0</v>
      </c>
      <c r="F323" s="6">
        <v>0</v>
      </c>
      <c r="G323" s="6">
        <v>1</v>
      </c>
      <c r="H323" s="6">
        <v>0</v>
      </c>
      <c r="I323" s="11">
        <v>0</v>
      </c>
      <c r="J323">
        <v>1</v>
      </c>
    </row>
    <row r="324" spans="1:10" x14ac:dyDescent="0.45">
      <c r="A324" s="9">
        <v>375</v>
      </c>
      <c r="B324" s="6" t="s">
        <v>1680</v>
      </c>
      <c r="C324" s="12">
        <v>0</v>
      </c>
      <c r="D324" s="10">
        <v>1</v>
      </c>
      <c r="E324" s="10">
        <v>0</v>
      </c>
      <c r="F324" s="6">
        <v>0</v>
      </c>
      <c r="G324" s="6">
        <v>1</v>
      </c>
      <c r="H324" s="6">
        <v>0</v>
      </c>
      <c r="I324" s="11">
        <v>0.2</v>
      </c>
      <c r="J324">
        <v>1</v>
      </c>
    </row>
    <row r="325" spans="1:10" x14ac:dyDescent="0.45">
      <c r="A325" s="9">
        <v>376</v>
      </c>
      <c r="B325" s="6" t="s">
        <v>1681</v>
      </c>
      <c r="C325" s="12">
        <v>0</v>
      </c>
      <c r="D325" s="10">
        <v>1</v>
      </c>
      <c r="E325" s="10">
        <v>0</v>
      </c>
      <c r="F325" s="6">
        <v>0</v>
      </c>
      <c r="G325" s="6">
        <v>7</v>
      </c>
      <c r="H325" s="6">
        <v>0</v>
      </c>
      <c r="I325" s="11">
        <v>0.2</v>
      </c>
      <c r="J325">
        <v>1</v>
      </c>
    </row>
    <row r="326" spans="1:10" x14ac:dyDescent="0.45">
      <c r="A326" s="9">
        <v>377</v>
      </c>
      <c r="B326" s="6" t="s">
        <v>1682</v>
      </c>
      <c r="C326" s="12">
        <v>0.15</v>
      </c>
      <c r="D326" s="10">
        <v>0</v>
      </c>
      <c r="E326" s="10">
        <v>1</v>
      </c>
      <c r="F326" s="6">
        <v>0</v>
      </c>
      <c r="G326" s="6">
        <v>19</v>
      </c>
      <c r="H326" s="6">
        <v>0</v>
      </c>
      <c r="I326" s="11">
        <v>0.2</v>
      </c>
      <c r="J326">
        <v>1</v>
      </c>
    </row>
    <row r="327" spans="1:10" x14ac:dyDescent="0.45">
      <c r="A327" s="9">
        <v>378</v>
      </c>
      <c r="B327" s="6" t="s">
        <v>1683</v>
      </c>
      <c r="C327" s="12">
        <v>0.15</v>
      </c>
      <c r="D327" s="10">
        <v>0</v>
      </c>
      <c r="E327" s="10">
        <v>1</v>
      </c>
      <c r="F327" s="6">
        <v>0</v>
      </c>
      <c r="G327" s="6">
        <v>19</v>
      </c>
      <c r="H327" s="6">
        <v>0</v>
      </c>
      <c r="I327" s="11">
        <v>0.1</v>
      </c>
      <c r="J327">
        <v>1</v>
      </c>
    </row>
    <row r="328" spans="1:10" x14ac:dyDescent="0.45">
      <c r="A328" s="9">
        <v>379</v>
      </c>
      <c r="B328" s="6" t="s">
        <v>1684</v>
      </c>
      <c r="C328" s="12">
        <v>0</v>
      </c>
      <c r="D328" s="10">
        <v>1</v>
      </c>
      <c r="E328" s="10">
        <v>1</v>
      </c>
      <c r="F328" s="6">
        <v>0</v>
      </c>
      <c r="G328" s="6">
        <v>2</v>
      </c>
      <c r="H328" s="6">
        <v>0</v>
      </c>
      <c r="I328" s="11">
        <v>0.2</v>
      </c>
      <c r="J328">
        <v>1</v>
      </c>
    </row>
    <row r="329" spans="1:10" x14ac:dyDescent="0.45">
      <c r="A329" s="9">
        <v>380</v>
      </c>
      <c r="B329" s="6" t="s">
        <v>1685</v>
      </c>
      <c r="C329" s="12">
        <v>0</v>
      </c>
      <c r="D329" s="10">
        <v>1</v>
      </c>
      <c r="E329" s="10">
        <v>1</v>
      </c>
      <c r="F329" s="6">
        <v>0</v>
      </c>
      <c r="G329" s="6">
        <v>31</v>
      </c>
      <c r="H329" s="6">
        <v>0</v>
      </c>
      <c r="I329" s="11">
        <v>0.2</v>
      </c>
      <c r="J329">
        <v>1</v>
      </c>
    </row>
    <row r="330" spans="1:10" x14ac:dyDescent="0.45">
      <c r="A330" s="9">
        <v>381</v>
      </c>
      <c r="B330" s="6" t="s">
        <v>1686</v>
      </c>
      <c r="C330" s="12">
        <v>0.15</v>
      </c>
      <c r="D330" s="10">
        <v>0</v>
      </c>
      <c r="E330" s="10">
        <v>0</v>
      </c>
      <c r="F330" s="6">
        <v>0</v>
      </c>
      <c r="G330" s="6">
        <v>19</v>
      </c>
      <c r="H330" s="6">
        <v>0</v>
      </c>
      <c r="I330" s="11">
        <v>0</v>
      </c>
      <c r="J330">
        <v>1</v>
      </c>
    </row>
    <row r="331" spans="1:10" x14ac:dyDescent="0.45">
      <c r="A331" s="9">
        <v>382</v>
      </c>
      <c r="B331" s="6" t="s">
        <v>1687</v>
      </c>
      <c r="C331" s="12">
        <v>0</v>
      </c>
      <c r="D331" s="10">
        <v>1</v>
      </c>
      <c r="E331" s="10">
        <v>1</v>
      </c>
      <c r="F331" s="6">
        <v>0</v>
      </c>
      <c r="G331" s="6">
        <v>19</v>
      </c>
      <c r="H331" s="6">
        <v>0</v>
      </c>
      <c r="I331" s="11">
        <v>0.2</v>
      </c>
      <c r="J331">
        <v>1</v>
      </c>
    </row>
    <row r="332" spans="1:10" x14ac:dyDescent="0.45">
      <c r="A332" s="9">
        <v>383</v>
      </c>
      <c r="B332" s="6" t="s">
        <v>1688</v>
      </c>
      <c r="C332" s="12">
        <v>0</v>
      </c>
      <c r="D332" s="10">
        <v>1</v>
      </c>
      <c r="E332" s="10">
        <v>0</v>
      </c>
      <c r="F332" s="6">
        <v>0</v>
      </c>
      <c r="G332" s="6">
        <v>1</v>
      </c>
      <c r="H332" s="6">
        <v>0</v>
      </c>
      <c r="I332" s="11">
        <v>0</v>
      </c>
      <c r="J332">
        <v>1</v>
      </c>
    </row>
    <row r="333" spans="1:10" x14ac:dyDescent="0.45">
      <c r="A333" s="9">
        <v>384</v>
      </c>
      <c r="B333" s="6" t="s">
        <v>1689</v>
      </c>
      <c r="C333" s="12">
        <v>0.15</v>
      </c>
      <c r="D333" s="10">
        <v>0</v>
      </c>
      <c r="E333" s="10">
        <v>1</v>
      </c>
      <c r="F333" s="6">
        <v>0</v>
      </c>
      <c r="G333" s="6">
        <v>18</v>
      </c>
      <c r="H333" s="6">
        <v>0</v>
      </c>
      <c r="I333" s="11">
        <v>0.2</v>
      </c>
      <c r="J333">
        <v>1</v>
      </c>
    </row>
    <row r="334" spans="1:10" x14ac:dyDescent="0.45">
      <c r="A334" s="9">
        <v>385</v>
      </c>
      <c r="B334" s="6" t="s">
        <v>1690</v>
      </c>
      <c r="C334" s="12">
        <v>0.15</v>
      </c>
      <c r="D334" s="10">
        <v>0</v>
      </c>
      <c r="E334" s="10">
        <v>0</v>
      </c>
      <c r="F334" s="6">
        <v>0</v>
      </c>
      <c r="G334" s="6">
        <v>29</v>
      </c>
      <c r="H334" s="6">
        <v>0</v>
      </c>
      <c r="I334" s="11">
        <v>0</v>
      </c>
      <c r="J334">
        <v>1</v>
      </c>
    </row>
    <row r="335" spans="1:10" x14ac:dyDescent="0.45">
      <c r="A335" s="9">
        <v>386</v>
      </c>
      <c r="B335" s="6" t="s">
        <v>1691</v>
      </c>
      <c r="C335" s="12">
        <v>0</v>
      </c>
      <c r="D335" s="10">
        <v>1</v>
      </c>
      <c r="E335" s="10">
        <v>0</v>
      </c>
      <c r="F335" s="6">
        <v>0</v>
      </c>
      <c r="G335" s="6">
        <v>1</v>
      </c>
      <c r="H335" s="6">
        <v>0</v>
      </c>
      <c r="I335" s="11">
        <v>0</v>
      </c>
      <c r="J335">
        <v>1</v>
      </c>
    </row>
    <row r="336" spans="1:10" x14ac:dyDescent="0.45">
      <c r="A336" s="9">
        <v>387</v>
      </c>
      <c r="B336" s="6" t="s">
        <v>1692</v>
      </c>
      <c r="C336" s="12">
        <v>0</v>
      </c>
      <c r="D336" s="10">
        <v>1</v>
      </c>
      <c r="E336" s="10">
        <v>0</v>
      </c>
      <c r="F336" s="6">
        <v>0</v>
      </c>
      <c r="G336" s="6">
        <v>1</v>
      </c>
      <c r="H336" s="6">
        <v>0</v>
      </c>
      <c r="I336" s="11">
        <v>0.2</v>
      </c>
      <c r="J336">
        <v>1</v>
      </c>
    </row>
    <row r="337" spans="1:10" x14ac:dyDescent="0.45">
      <c r="A337" s="9">
        <v>388</v>
      </c>
      <c r="B337" s="6" t="s">
        <v>1693</v>
      </c>
      <c r="C337" s="12">
        <v>0.15</v>
      </c>
      <c r="D337" s="10">
        <v>0</v>
      </c>
      <c r="E337" s="10">
        <v>1</v>
      </c>
      <c r="F337" s="6">
        <v>0</v>
      </c>
      <c r="G337" s="6">
        <v>22</v>
      </c>
      <c r="H337" s="6">
        <v>0</v>
      </c>
      <c r="I337" s="11">
        <v>0.1</v>
      </c>
      <c r="J337">
        <v>1</v>
      </c>
    </row>
    <row r="338" spans="1:10" x14ac:dyDescent="0.45">
      <c r="A338" s="9">
        <v>389</v>
      </c>
      <c r="B338" s="6" t="s">
        <v>1694</v>
      </c>
      <c r="C338" s="12">
        <v>0.15</v>
      </c>
      <c r="D338" s="10">
        <v>0</v>
      </c>
      <c r="E338" s="10">
        <v>1</v>
      </c>
      <c r="F338" s="6">
        <v>0</v>
      </c>
      <c r="G338" s="6">
        <v>22</v>
      </c>
      <c r="H338" s="6">
        <v>0</v>
      </c>
      <c r="I338" s="11">
        <v>0.2</v>
      </c>
      <c r="J338">
        <v>1</v>
      </c>
    </row>
    <row r="339" spans="1:10" x14ac:dyDescent="0.45">
      <c r="A339" s="9">
        <v>390</v>
      </c>
      <c r="B339" s="6" t="s">
        <v>1695</v>
      </c>
      <c r="C339" s="12">
        <v>0.15</v>
      </c>
      <c r="D339" s="10">
        <v>0</v>
      </c>
      <c r="E339" s="10">
        <v>1</v>
      </c>
      <c r="F339" s="6">
        <v>0</v>
      </c>
      <c r="G339" s="6">
        <v>22</v>
      </c>
      <c r="H339" s="6">
        <v>0</v>
      </c>
      <c r="I339" s="11">
        <v>0.2</v>
      </c>
      <c r="J339">
        <v>1</v>
      </c>
    </row>
    <row r="340" spans="1:10" x14ac:dyDescent="0.45">
      <c r="A340" s="9">
        <v>391</v>
      </c>
      <c r="B340" s="6" t="s">
        <v>1696</v>
      </c>
      <c r="C340" s="12">
        <v>0.15</v>
      </c>
      <c r="D340" s="10">
        <v>0</v>
      </c>
      <c r="E340" s="10">
        <v>1</v>
      </c>
      <c r="F340" s="6">
        <v>0</v>
      </c>
      <c r="G340" s="6">
        <v>19</v>
      </c>
      <c r="H340" s="6">
        <v>0</v>
      </c>
      <c r="I340" s="11">
        <v>0.2</v>
      </c>
      <c r="J340">
        <v>1</v>
      </c>
    </row>
    <row r="341" spans="1:10" x14ac:dyDescent="0.45">
      <c r="A341" s="9">
        <v>392</v>
      </c>
      <c r="B341" s="6" t="s">
        <v>1697</v>
      </c>
      <c r="C341" s="12">
        <v>0.15</v>
      </c>
      <c r="D341" s="10">
        <v>0</v>
      </c>
      <c r="E341" s="10">
        <v>1</v>
      </c>
      <c r="F341" s="6">
        <v>0</v>
      </c>
      <c r="G341" s="6">
        <v>9</v>
      </c>
      <c r="H341" s="6">
        <v>0</v>
      </c>
      <c r="I341" s="11">
        <v>0.2</v>
      </c>
      <c r="J341">
        <v>1</v>
      </c>
    </row>
    <row r="342" spans="1:10" x14ac:dyDescent="0.45">
      <c r="A342" s="9">
        <v>393</v>
      </c>
      <c r="B342" s="6" t="s">
        <v>1698</v>
      </c>
      <c r="C342" s="12">
        <v>0.15</v>
      </c>
      <c r="D342" s="10">
        <v>0</v>
      </c>
      <c r="E342" s="10">
        <v>1</v>
      </c>
      <c r="F342" s="6">
        <v>0</v>
      </c>
      <c r="G342" s="6">
        <v>9</v>
      </c>
      <c r="H342" s="6">
        <v>0</v>
      </c>
      <c r="I342" s="11">
        <v>0.2</v>
      </c>
      <c r="J342">
        <v>1</v>
      </c>
    </row>
    <row r="343" spans="1:10" x14ac:dyDescent="0.45">
      <c r="A343" s="9">
        <v>394</v>
      </c>
      <c r="B343" s="6" t="s">
        <v>1699</v>
      </c>
      <c r="C343" s="12">
        <v>0.15</v>
      </c>
      <c r="D343" s="10">
        <v>0</v>
      </c>
      <c r="E343" s="10">
        <v>1</v>
      </c>
      <c r="F343" s="6">
        <v>0</v>
      </c>
      <c r="G343" s="6">
        <v>9</v>
      </c>
      <c r="H343" s="6">
        <v>0</v>
      </c>
      <c r="I343" s="11">
        <v>0.2</v>
      </c>
      <c r="J343">
        <v>1</v>
      </c>
    </row>
    <row r="344" spans="1:10" x14ac:dyDescent="0.45">
      <c r="A344" s="9">
        <v>395</v>
      </c>
      <c r="B344" s="6" t="s">
        <v>1700</v>
      </c>
      <c r="C344" s="12">
        <v>0.15</v>
      </c>
      <c r="D344" s="10">
        <v>0</v>
      </c>
      <c r="E344" s="10">
        <v>1</v>
      </c>
      <c r="F344" s="6">
        <v>0</v>
      </c>
      <c r="G344" s="6">
        <v>9</v>
      </c>
      <c r="H344" s="6">
        <v>0</v>
      </c>
      <c r="I344" s="11">
        <v>0.2</v>
      </c>
      <c r="J344">
        <v>1</v>
      </c>
    </row>
    <row r="345" spans="1:10" x14ac:dyDescent="0.45">
      <c r="A345" s="9">
        <v>396</v>
      </c>
      <c r="B345" s="6" t="s">
        <v>1701</v>
      </c>
      <c r="C345" s="12">
        <v>0.15</v>
      </c>
      <c r="D345" s="10">
        <v>0</v>
      </c>
      <c r="E345" s="10">
        <v>1</v>
      </c>
      <c r="F345" s="6">
        <v>0</v>
      </c>
      <c r="G345" s="6">
        <v>9</v>
      </c>
      <c r="H345" s="6">
        <v>0</v>
      </c>
      <c r="I345" s="11">
        <v>0.2</v>
      </c>
      <c r="J345">
        <v>1</v>
      </c>
    </row>
    <row r="346" spans="1:10" x14ac:dyDescent="0.45">
      <c r="A346" s="9">
        <v>397</v>
      </c>
      <c r="B346" s="6" t="s">
        <v>1702</v>
      </c>
      <c r="C346" s="12">
        <v>0.15</v>
      </c>
      <c r="D346" s="10">
        <v>0</v>
      </c>
      <c r="E346" s="10">
        <v>1</v>
      </c>
      <c r="F346" s="6">
        <v>0</v>
      </c>
      <c r="G346" s="6">
        <v>9</v>
      </c>
      <c r="H346" s="6">
        <v>0</v>
      </c>
      <c r="I346" s="11">
        <v>0.2</v>
      </c>
      <c r="J346">
        <v>1</v>
      </c>
    </row>
    <row r="347" spans="1:10" x14ac:dyDescent="0.45">
      <c r="A347" s="9">
        <v>398</v>
      </c>
      <c r="B347" s="6" t="s">
        <v>1703</v>
      </c>
      <c r="C347" s="12">
        <v>0.15</v>
      </c>
      <c r="D347" s="10">
        <v>0</v>
      </c>
      <c r="E347" s="10">
        <v>1</v>
      </c>
      <c r="F347" s="6">
        <v>0</v>
      </c>
      <c r="G347" s="6">
        <v>9</v>
      </c>
      <c r="H347" s="6">
        <v>0</v>
      </c>
      <c r="I347" s="11">
        <v>0.2</v>
      </c>
      <c r="J347">
        <v>1</v>
      </c>
    </row>
    <row r="348" spans="1:10" x14ac:dyDescent="0.45">
      <c r="A348" s="9">
        <v>399</v>
      </c>
      <c r="B348" s="6" t="s">
        <v>1704</v>
      </c>
      <c r="C348" s="12">
        <v>0.15</v>
      </c>
      <c r="D348" s="10">
        <v>0</v>
      </c>
      <c r="E348" s="10">
        <v>1</v>
      </c>
      <c r="F348" s="6">
        <v>0</v>
      </c>
      <c r="G348" s="6">
        <v>9</v>
      </c>
      <c r="H348" s="6">
        <v>0</v>
      </c>
      <c r="I348" s="11">
        <v>0.2</v>
      </c>
      <c r="J348">
        <v>1</v>
      </c>
    </row>
    <row r="349" spans="1:10" x14ac:dyDescent="0.45">
      <c r="A349" s="9">
        <v>400</v>
      </c>
      <c r="B349" s="6" t="s">
        <v>1705</v>
      </c>
      <c r="C349" s="12">
        <v>0.15</v>
      </c>
      <c r="D349" s="10">
        <v>0</v>
      </c>
      <c r="E349" s="10">
        <v>1</v>
      </c>
      <c r="F349" s="6">
        <v>0</v>
      </c>
      <c r="G349" s="6">
        <v>9</v>
      </c>
      <c r="H349" s="6">
        <v>0</v>
      </c>
      <c r="I349" s="11">
        <v>0.2</v>
      </c>
      <c r="J349">
        <v>1</v>
      </c>
    </row>
    <row r="350" spans="1:10" x14ac:dyDescent="0.45">
      <c r="A350" s="9">
        <v>401</v>
      </c>
      <c r="B350" s="6" t="s">
        <v>1706</v>
      </c>
      <c r="C350" s="12">
        <v>0.15</v>
      </c>
      <c r="D350" s="10">
        <v>0</v>
      </c>
      <c r="E350" s="10">
        <v>1</v>
      </c>
      <c r="F350" s="6">
        <v>0</v>
      </c>
      <c r="G350" s="6">
        <v>9</v>
      </c>
      <c r="H350" s="6">
        <v>0</v>
      </c>
      <c r="I350" s="11">
        <v>0.2</v>
      </c>
      <c r="J350">
        <v>1</v>
      </c>
    </row>
    <row r="351" spans="1:10" x14ac:dyDescent="0.45">
      <c r="A351" s="9">
        <v>402</v>
      </c>
      <c r="B351" s="6" t="s">
        <v>1707</v>
      </c>
      <c r="C351" s="12">
        <v>0.15</v>
      </c>
      <c r="D351" s="10">
        <v>0</v>
      </c>
      <c r="E351" s="10">
        <v>1</v>
      </c>
      <c r="F351" s="6">
        <v>0</v>
      </c>
      <c r="G351" s="6">
        <v>16</v>
      </c>
      <c r="H351" s="6">
        <v>0</v>
      </c>
      <c r="I351" s="11">
        <v>0.2</v>
      </c>
      <c r="J351">
        <v>1</v>
      </c>
    </row>
    <row r="352" spans="1:10" x14ac:dyDescent="0.45">
      <c r="A352" s="9">
        <v>403</v>
      </c>
      <c r="B352" s="6" t="s">
        <v>1708</v>
      </c>
      <c r="C352" s="12">
        <v>0.15</v>
      </c>
      <c r="D352" s="10">
        <v>0</v>
      </c>
      <c r="E352" s="10">
        <v>1</v>
      </c>
      <c r="F352" s="6">
        <v>0</v>
      </c>
      <c r="G352" s="6">
        <v>16</v>
      </c>
      <c r="H352" s="6">
        <v>0</v>
      </c>
      <c r="I352" s="11">
        <v>0.2</v>
      </c>
      <c r="J352">
        <v>1</v>
      </c>
    </row>
    <row r="353" spans="1:10" x14ac:dyDescent="0.45">
      <c r="A353" s="9">
        <v>404</v>
      </c>
      <c r="B353" s="6" t="s">
        <v>1709</v>
      </c>
      <c r="C353" s="12">
        <v>0.15</v>
      </c>
      <c r="D353" s="10">
        <v>0</v>
      </c>
      <c r="E353" s="10">
        <v>1</v>
      </c>
      <c r="F353" s="6">
        <v>0</v>
      </c>
      <c r="G353" s="6">
        <v>23</v>
      </c>
      <c r="H353" s="6">
        <v>0</v>
      </c>
      <c r="I353" s="11">
        <v>0.2</v>
      </c>
      <c r="J353">
        <v>1</v>
      </c>
    </row>
    <row r="354" spans="1:10" x14ac:dyDescent="0.45">
      <c r="A354" s="9">
        <v>405</v>
      </c>
      <c r="B354" s="6" t="s">
        <v>1710</v>
      </c>
      <c r="C354" s="12">
        <v>0.15</v>
      </c>
      <c r="D354" s="10">
        <v>0</v>
      </c>
      <c r="E354" s="10">
        <v>1</v>
      </c>
      <c r="F354" s="6">
        <v>0</v>
      </c>
      <c r="G354" s="6">
        <v>23</v>
      </c>
      <c r="H354" s="6">
        <v>0</v>
      </c>
      <c r="I354" s="11">
        <v>0.2</v>
      </c>
      <c r="J354">
        <v>1</v>
      </c>
    </row>
    <row r="355" spans="1:10" x14ac:dyDescent="0.45">
      <c r="A355" s="9">
        <v>406</v>
      </c>
      <c r="B355" s="6" t="s">
        <v>1711</v>
      </c>
      <c r="C355" s="12">
        <v>0</v>
      </c>
      <c r="D355" s="10">
        <v>1</v>
      </c>
      <c r="E355" s="10">
        <v>1</v>
      </c>
      <c r="F355" s="6">
        <v>0</v>
      </c>
      <c r="G355" s="6">
        <v>7</v>
      </c>
      <c r="H355" s="6">
        <v>0</v>
      </c>
      <c r="I355" s="11">
        <v>0.2</v>
      </c>
      <c r="J355">
        <v>1</v>
      </c>
    </row>
    <row r="356" spans="1:10" x14ac:dyDescent="0.45">
      <c r="A356" s="9">
        <v>407</v>
      </c>
      <c r="B356" s="6" t="s">
        <v>1712</v>
      </c>
      <c r="C356" s="12">
        <v>0</v>
      </c>
      <c r="D356" s="10">
        <v>1</v>
      </c>
      <c r="E356" s="10">
        <v>1</v>
      </c>
      <c r="F356" s="6">
        <v>0</v>
      </c>
      <c r="G356" s="6">
        <v>23</v>
      </c>
      <c r="H356" s="6">
        <v>0</v>
      </c>
      <c r="I356" s="11">
        <v>0.2</v>
      </c>
      <c r="J356">
        <v>1</v>
      </c>
    </row>
    <row r="357" spans="1:10" x14ac:dyDescent="0.45">
      <c r="A357" s="9">
        <v>408</v>
      </c>
      <c r="B357" s="6" t="s">
        <v>1713</v>
      </c>
      <c r="C357" s="12">
        <v>0</v>
      </c>
      <c r="D357" s="10">
        <v>1</v>
      </c>
      <c r="E357" s="10">
        <v>0</v>
      </c>
      <c r="F357" s="6">
        <v>0</v>
      </c>
      <c r="G357" s="6">
        <v>3</v>
      </c>
      <c r="H357" s="6">
        <v>0</v>
      </c>
      <c r="I357" s="11">
        <v>0</v>
      </c>
      <c r="J357">
        <v>1</v>
      </c>
    </row>
    <row r="358" spans="1:10" x14ac:dyDescent="0.45">
      <c r="A358" s="9">
        <v>409</v>
      </c>
      <c r="B358" s="6" t="s">
        <v>1714</v>
      </c>
      <c r="C358" s="12">
        <v>0.15</v>
      </c>
      <c r="D358" s="10">
        <v>0</v>
      </c>
      <c r="E358" s="10">
        <v>0</v>
      </c>
      <c r="F358" s="6">
        <v>0</v>
      </c>
      <c r="G358" s="6">
        <v>6</v>
      </c>
      <c r="H358" s="6">
        <v>0</v>
      </c>
      <c r="I358" s="11">
        <v>0.2</v>
      </c>
      <c r="J358">
        <v>1</v>
      </c>
    </row>
    <row r="359" spans="1:10" x14ac:dyDescent="0.45">
      <c r="A359" s="9">
        <v>410</v>
      </c>
      <c r="B359" s="6" t="s">
        <v>1715</v>
      </c>
      <c r="C359" s="12">
        <v>0.15</v>
      </c>
      <c r="D359" s="10">
        <v>0</v>
      </c>
      <c r="E359" s="10">
        <v>1</v>
      </c>
      <c r="F359" s="6">
        <v>0</v>
      </c>
      <c r="G359" s="6">
        <v>9</v>
      </c>
      <c r="H359" s="6">
        <v>0</v>
      </c>
      <c r="I359" s="11">
        <v>0.2</v>
      </c>
      <c r="J359">
        <v>1</v>
      </c>
    </row>
    <row r="360" spans="1:10" x14ac:dyDescent="0.45">
      <c r="A360" s="9">
        <v>411</v>
      </c>
      <c r="B360" s="6" t="s">
        <v>1716</v>
      </c>
      <c r="C360" s="12">
        <v>0</v>
      </c>
      <c r="D360" s="10">
        <v>1</v>
      </c>
      <c r="E360" s="10">
        <v>1</v>
      </c>
      <c r="F360" s="6">
        <v>0</v>
      </c>
      <c r="G360" s="6">
        <v>24</v>
      </c>
      <c r="H360" s="6">
        <v>0</v>
      </c>
      <c r="I360" s="11">
        <v>0.2</v>
      </c>
      <c r="J360">
        <v>1</v>
      </c>
    </row>
    <row r="361" spans="1:10" x14ac:dyDescent="0.45">
      <c r="A361" s="9">
        <v>412</v>
      </c>
      <c r="B361" s="6" t="s">
        <v>1717</v>
      </c>
      <c r="C361" s="12">
        <v>0.15</v>
      </c>
      <c r="D361" s="10">
        <v>0</v>
      </c>
      <c r="E361" s="10">
        <v>1</v>
      </c>
      <c r="F361" s="6">
        <v>0</v>
      </c>
      <c r="G361" s="6">
        <v>24</v>
      </c>
      <c r="H361" s="6">
        <v>0</v>
      </c>
      <c r="I361" s="11">
        <v>0.2</v>
      </c>
      <c r="J361">
        <v>1</v>
      </c>
    </row>
    <row r="362" spans="1:10" x14ac:dyDescent="0.45">
      <c r="A362" s="9">
        <v>413</v>
      </c>
      <c r="B362" s="6" t="s">
        <v>1718</v>
      </c>
      <c r="C362" s="12">
        <v>0</v>
      </c>
      <c r="D362" s="10">
        <v>1</v>
      </c>
      <c r="E362" s="10">
        <v>0</v>
      </c>
      <c r="F362" s="6">
        <v>0</v>
      </c>
      <c r="G362" s="6">
        <v>1</v>
      </c>
      <c r="H362" s="6">
        <v>0</v>
      </c>
      <c r="I362" s="11">
        <v>0</v>
      </c>
      <c r="J362">
        <v>1</v>
      </c>
    </row>
    <row r="363" spans="1:10" x14ac:dyDescent="0.45">
      <c r="A363" s="9">
        <v>414</v>
      </c>
      <c r="B363" s="6" t="s">
        <v>1719</v>
      </c>
      <c r="C363" s="12">
        <v>0.15</v>
      </c>
      <c r="D363" s="10">
        <v>0</v>
      </c>
      <c r="E363" s="10">
        <v>0</v>
      </c>
      <c r="F363" s="6">
        <v>0</v>
      </c>
      <c r="G363" s="6">
        <v>7</v>
      </c>
      <c r="H363" s="6">
        <v>0</v>
      </c>
      <c r="I363" s="11">
        <v>0.2</v>
      </c>
      <c r="J363">
        <v>1</v>
      </c>
    </row>
    <row r="364" spans="1:10" x14ac:dyDescent="0.45">
      <c r="A364" s="9">
        <v>415</v>
      </c>
      <c r="B364" s="6" t="s">
        <v>1720</v>
      </c>
      <c r="C364" s="12">
        <v>0.15</v>
      </c>
      <c r="D364" s="10">
        <v>0</v>
      </c>
      <c r="E364" s="10">
        <v>1</v>
      </c>
      <c r="F364" s="6">
        <v>0</v>
      </c>
      <c r="G364" s="6">
        <v>24</v>
      </c>
      <c r="H364" s="6">
        <v>0</v>
      </c>
      <c r="I364" s="11">
        <v>0.35</v>
      </c>
      <c r="J364">
        <v>1</v>
      </c>
    </row>
    <row r="365" spans="1:10" x14ac:dyDescent="0.45">
      <c r="A365" s="9">
        <v>416</v>
      </c>
      <c r="B365" s="6" t="s">
        <v>1721</v>
      </c>
      <c r="C365" s="12">
        <v>0.15</v>
      </c>
      <c r="D365" s="10">
        <v>0</v>
      </c>
      <c r="E365" s="10">
        <v>1</v>
      </c>
      <c r="F365" s="6">
        <v>0</v>
      </c>
      <c r="G365" s="6">
        <v>31</v>
      </c>
      <c r="H365" s="6">
        <v>0</v>
      </c>
      <c r="I365" s="11">
        <v>0.2</v>
      </c>
      <c r="J365">
        <v>1</v>
      </c>
    </row>
    <row r="366" spans="1:10" x14ac:dyDescent="0.45">
      <c r="A366" s="9">
        <v>417</v>
      </c>
      <c r="B366" s="6" t="s">
        <v>1722</v>
      </c>
      <c r="C366" s="12">
        <v>0.15</v>
      </c>
      <c r="D366" s="10">
        <v>0</v>
      </c>
      <c r="E366" s="10">
        <v>1</v>
      </c>
      <c r="F366" s="6">
        <v>0</v>
      </c>
      <c r="G366" s="6">
        <v>31</v>
      </c>
      <c r="H366" s="6">
        <v>0</v>
      </c>
      <c r="I366" s="11">
        <v>0.2</v>
      </c>
      <c r="J366">
        <v>1</v>
      </c>
    </row>
    <row r="367" spans="1:10" x14ac:dyDescent="0.45">
      <c r="A367" s="9">
        <v>418</v>
      </c>
      <c r="B367" s="6" t="s">
        <v>1723</v>
      </c>
      <c r="C367" s="12">
        <v>0.15</v>
      </c>
      <c r="D367" s="10">
        <v>0</v>
      </c>
      <c r="E367" s="10">
        <v>1</v>
      </c>
      <c r="F367" s="6">
        <v>0</v>
      </c>
      <c r="G367" s="6">
        <v>31</v>
      </c>
      <c r="H367" s="6">
        <v>0</v>
      </c>
      <c r="I367" s="11">
        <v>0.2</v>
      </c>
      <c r="J367">
        <v>1</v>
      </c>
    </row>
    <row r="368" spans="1:10" x14ac:dyDescent="0.45">
      <c r="A368" s="9">
        <v>419</v>
      </c>
      <c r="B368" s="6" t="s">
        <v>1724</v>
      </c>
      <c r="C368" s="12">
        <v>0.15</v>
      </c>
      <c r="D368" s="10">
        <v>0</v>
      </c>
      <c r="E368" s="10">
        <v>1</v>
      </c>
      <c r="F368" s="6">
        <v>0</v>
      </c>
      <c r="G368" s="6">
        <v>31</v>
      </c>
      <c r="H368" s="6">
        <v>0</v>
      </c>
      <c r="I368" s="11">
        <v>0.2</v>
      </c>
      <c r="J368">
        <v>1</v>
      </c>
    </row>
    <row r="369" spans="1:10" x14ac:dyDescent="0.45">
      <c r="A369" s="9">
        <v>420</v>
      </c>
      <c r="B369" s="6" t="s">
        <v>1725</v>
      </c>
      <c r="C369" s="12">
        <v>0.15</v>
      </c>
      <c r="D369" s="10">
        <v>0</v>
      </c>
      <c r="E369" s="10">
        <v>1</v>
      </c>
      <c r="F369" s="6">
        <v>0</v>
      </c>
      <c r="G369" s="6">
        <v>31</v>
      </c>
      <c r="H369" s="6">
        <v>0</v>
      </c>
      <c r="I369" s="11">
        <v>0.2</v>
      </c>
      <c r="J369">
        <v>1</v>
      </c>
    </row>
    <row r="370" spans="1:10" x14ac:dyDescent="0.45">
      <c r="A370" s="9">
        <v>421</v>
      </c>
      <c r="B370" s="6" t="s">
        <v>1726</v>
      </c>
      <c r="C370" s="12">
        <v>0.15</v>
      </c>
      <c r="D370" s="10">
        <v>0</v>
      </c>
      <c r="E370" s="10">
        <v>1</v>
      </c>
      <c r="F370" s="6">
        <v>0</v>
      </c>
      <c r="G370" s="6">
        <v>31</v>
      </c>
      <c r="H370" s="6">
        <v>0</v>
      </c>
      <c r="I370" s="11">
        <v>0.2</v>
      </c>
      <c r="J370">
        <v>1</v>
      </c>
    </row>
    <row r="371" spans="1:10" x14ac:dyDescent="0.45">
      <c r="A371" s="9">
        <v>422</v>
      </c>
      <c r="B371" s="6" t="s">
        <v>1727</v>
      </c>
      <c r="C371" s="12">
        <v>0.15</v>
      </c>
      <c r="D371" s="10">
        <v>0</v>
      </c>
      <c r="E371" s="10">
        <v>0</v>
      </c>
      <c r="F371" s="6">
        <v>0</v>
      </c>
      <c r="G371" s="6">
        <v>24</v>
      </c>
      <c r="H371" s="6">
        <v>0</v>
      </c>
      <c r="I371" s="11">
        <v>0.2</v>
      </c>
      <c r="J371">
        <v>1</v>
      </c>
    </row>
    <row r="372" spans="1:10" x14ac:dyDescent="0.45">
      <c r="A372" s="9">
        <v>423</v>
      </c>
      <c r="B372" s="6" t="s">
        <v>1728</v>
      </c>
      <c r="C372" s="12">
        <v>0.15</v>
      </c>
      <c r="D372" s="10">
        <v>0</v>
      </c>
      <c r="E372" s="10">
        <v>1</v>
      </c>
      <c r="F372" s="6">
        <v>0</v>
      </c>
      <c r="G372" s="6">
        <v>24</v>
      </c>
      <c r="H372" s="6">
        <v>0</v>
      </c>
      <c r="I372" s="11">
        <v>0.2</v>
      </c>
      <c r="J372">
        <v>1</v>
      </c>
    </row>
    <row r="373" spans="1:10" x14ac:dyDescent="0.45">
      <c r="A373" s="9">
        <v>424</v>
      </c>
      <c r="B373" s="6" t="s">
        <v>1729</v>
      </c>
      <c r="C373" s="12">
        <v>0.15</v>
      </c>
      <c r="D373" s="10">
        <v>0</v>
      </c>
      <c r="E373" s="10">
        <v>1</v>
      </c>
      <c r="F373" s="6">
        <v>0</v>
      </c>
      <c r="G373" s="6">
        <v>9</v>
      </c>
      <c r="H373" s="6">
        <v>0</v>
      </c>
      <c r="I373" s="11">
        <v>0.2</v>
      </c>
      <c r="J373">
        <v>1</v>
      </c>
    </row>
    <row r="374" spans="1:10" x14ac:dyDescent="0.45">
      <c r="A374" s="9">
        <v>425</v>
      </c>
      <c r="B374" s="6" t="s">
        <v>1730</v>
      </c>
      <c r="C374" s="12">
        <v>0.15</v>
      </c>
      <c r="D374" s="10">
        <v>0</v>
      </c>
      <c r="E374" s="10">
        <v>0</v>
      </c>
      <c r="F374" s="6">
        <v>0</v>
      </c>
      <c r="G374" s="6">
        <v>24</v>
      </c>
      <c r="H374" s="6">
        <v>0</v>
      </c>
      <c r="I374" s="11">
        <v>0.2</v>
      </c>
      <c r="J374">
        <v>1</v>
      </c>
    </row>
    <row r="375" spans="1:10" x14ac:dyDescent="0.45">
      <c r="A375" s="9">
        <v>426</v>
      </c>
      <c r="B375" s="6" t="s">
        <v>1731</v>
      </c>
      <c r="C375" s="12">
        <v>0.15</v>
      </c>
      <c r="D375" s="10">
        <v>0</v>
      </c>
      <c r="E375" s="10">
        <v>1</v>
      </c>
      <c r="F375" s="6">
        <v>0</v>
      </c>
      <c r="G375" s="6">
        <v>9</v>
      </c>
      <c r="H375" s="6">
        <v>0</v>
      </c>
      <c r="I375" s="11">
        <v>0.2</v>
      </c>
      <c r="J375">
        <v>1</v>
      </c>
    </row>
    <row r="376" spans="1:10" x14ac:dyDescent="0.45">
      <c r="A376" s="9">
        <v>427</v>
      </c>
      <c r="B376" s="6" t="s">
        <v>1732</v>
      </c>
      <c r="C376" s="12">
        <v>0</v>
      </c>
      <c r="D376" s="10">
        <v>1</v>
      </c>
      <c r="E376" s="10">
        <v>0</v>
      </c>
      <c r="F376" s="6">
        <v>0</v>
      </c>
      <c r="G376" s="6">
        <v>34</v>
      </c>
      <c r="H376" s="6">
        <v>0</v>
      </c>
      <c r="I376" s="11">
        <v>0</v>
      </c>
      <c r="J376">
        <v>1</v>
      </c>
    </row>
    <row r="377" spans="1:10" x14ac:dyDescent="0.45">
      <c r="A377" s="9">
        <v>428</v>
      </c>
      <c r="B377" s="6" t="s">
        <v>1733</v>
      </c>
      <c r="C377" s="12">
        <v>0</v>
      </c>
      <c r="D377" s="10">
        <v>1</v>
      </c>
      <c r="E377" s="10">
        <v>1</v>
      </c>
      <c r="F377" s="6">
        <v>0</v>
      </c>
      <c r="G377" s="6">
        <v>34</v>
      </c>
      <c r="H377" s="6">
        <v>0</v>
      </c>
      <c r="I377" s="11">
        <v>0</v>
      </c>
      <c r="J377">
        <v>1</v>
      </c>
    </row>
    <row r="378" spans="1:10" x14ac:dyDescent="0.45">
      <c r="A378" s="9">
        <v>429</v>
      </c>
      <c r="B378" s="6" t="s">
        <v>1734</v>
      </c>
      <c r="C378" s="12">
        <v>0</v>
      </c>
      <c r="D378" s="10">
        <v>1</v>
      </c>
      <c r="E378" s="10">
        <v>0</v>
      </c>
      <c r="F378" s="6">
        <v>0</v>
      </c>
      <c r="G378" s="6">
        <v>34</v>
      </c>
      <c r="H378" s="6">
        <v>0</v>
      </c>
      <c r="I378" s="11">
        <v>0</v>
      </c>
      <c r="J378">
        <v>1</v>
      </c>
    </row>
    <row r="379" spans="1:10" x14ac:dyDescent="0.45">
      <c r="A379" s="9">
        <v>430</v>
      </c>
      <c r="B379" s="6" t="s">
        <v>1735</v>
      </c>
      <c r="C379" s="12">
        <v>0</v>
      </c>
      <c r="D379" s="10">
        <v>1</v>
      </c>
      <c r="E379" s="10">
        <v>0</v>
      </c>
      <c r="F379" s="6">
        <v>0</v>
      </c>
      <c r="G379" s="6">
        <v>34</v>
      </c>
      <c r="H379" s="6">
        <v>0</v>
      </c>
      <c r="I379" s="11">
        <v>0</v>
      </c>
      <c r="J379">
        <v>1</v>
      </c>
    </row>
    <row r="380" spans="1:10" x14ac:dyDescent="0.45">
      <c r="A380" s="9">
        <v>431</v>
      </c>
      <c r="B380" s="6" t="s">
        <v>1736</v>
      </c>
      <c r="C380" s="12">
        <v>0</v>
      </c>
      <c r="D380" s="10">
        <v>1</v>
      </c>
      <c r="E380" s="10">
        <v>0</v>
      </c>
      <c r="F380" s="6">
        <v>0</v>
      </c>
      <c r="G380" s="6">
        <v>34</v>
      </c>
      <c r="H380" s="6">
        <v>0</v>
      </c>
      <c r="I380" s="11">
        <v>0</v>
      </c>
      <c r="J380">
        <v>1</v>
      </c>
    </row>
    <row r="381" spans="1:10" x14ac:dyDescent="0.45">
      <c r="A381" s="9">
        <v>432</v>
      </c>
      <c r="B381" s="6" t="s">
        <v>1737</v>
      </c>
      <c r="C381" s="12">
        <v>0.15</v>
      </c>
      <c r="D381" s="10">
        <v>0</v>
      </c>
      <c r="E381" s="10">
        <v>0</v>
      </c>
      <c r="F381" s="6">
        <v>0</v>
      </c>
      <c r="G381" s="6">
        <v>24</v>
      </c>
      <c r="H381" s="6">
        <v>0</v>
      </c>
      <c r="I381" s="11">
        <v>0.2</v>
      </c>
      <c r="J381">
        <v>1</v>
      </c>
    </row>
    <row r="382" spans="1:10" x14ac:dyDescent="0.45">
      <c r="A382" s="9">
        <v>433</v>
      </c>
      <c r="B382" s="6" t="s">
        <v>1738</v>
      </c>
      <c r="C382" s="12">
        <v>0.15</v>
      </c>
      <c r="D382" s="10">
        <v>0</v>
      </c>
      <c r="E382" s="10">
        <v>1</v>
      </c>
      <c r="F382" s="6">
        <v>0</v>
      </c>
      <c r="G382" s="6">
        <v>24</v>
      </c>
      <c r="H382" s="6">
        <v>0</v>
      </c>
      <c r="I382" s="11">
        <v>0.2</v>
      </c>
      <c r="J382">
        <v>1</v>
      </c>
    </row>
    <row r="383" spans="1:10" x14ac:dyDescent="0.45">
      <c r="A383" s="9">
        <v>434</v>
      </c>
      <c r="B383" s="6" t="s">
        <v>1739</v>
      </c>
      <c r="C383" s="12">
        <v>0.15</v>
      </c>
      <c r="D383" s="10">
        <v>0</v>
      </c>
      <c r="E383" s="10">
        <v>1</v>
      </c>
      <c r="F383" s="6">
        <v>0</v>
      </c>
      <c r="G383" s="6">
        <v>24</v>
      </c>
      <c r="H383" s="6">
        <v>0</v>
      </c>
      <c r="I383" s="11">
        <v>0.1</v>
      </c>
      <c r="J383">
        <v>1</v>
      </c>
    </row>
    <row r="384" spans="1:10" x14ac:dyDescent="0.45">
      <c r="A384" s="9">
        <v>435</v>
      </c>
      <c r="B384" s="6" t="s">
        <v>1740</v>
      </c>
      <c r="C384" s="12">
        <v>0</v>
      </c>
      <c r="D384" s="10">
        <v>1</v>
      </c>
      <c r="E384" s="10">
        <v>1</v>
      </c>
      <c r="F384" s="6">
        <v>0</v>
      </c>
      <c r="G384" s="6">
        <v>24</v>
      </c>
      <c r="H384" s="6">
        <v>0</v>
      </c>
      <c r="I384" s="11">
        <v>0.1</v>
      </c>
      <c r="J384">
        <v>1</v>
      </c>
    </row>
    <row r="385" spans="1:10" x14ac:dyDescent="0.45">
      <c r="A385" s="9">
        <v>436</v>
      </c>
      <c r="B385" s="6" t="s">
        <v>1741</v>
      </c>
      <c r="C385" s="12">
        <v>0.15</v>
      </c>
      <c r="D385" s="10">
        <v>0</v>
      </c>
      <c r="E385" s="10">
        <v>1</v>
      </c>
      <c r="F385" s="6">
        <v>0</v>
      </c>
      <c r="G385" s="6">
        <v>24</v>
      </c>
      <c r="H385" s="6">
        <v>0</v>
      </c>
      <c r="I385" s="11">
        <v>0.2</v>
      </c>
      <c r="J385">
        <v>1</v>
      </c>
    </row>
    <row r="386" spans="1:10" x14ac:dyDescent="0.45">
      <c r="A386" s="9">
        <v>437</v>
      </c>
      <c r="B386" s="6" t="s">
        <v>1742</v>
      </c>
      <c r="C386" s="12">
        <v>0.15</v>
      </c>
      <c r="D386" s="10">
        <v>0</v>
      </c>
      <c r="E386" s="10">
        <v>0</v>
      </c>
      <c r="F386" s="6">
        <v>0</v>
      </c>
      <c r="G386" s="6">
        <v>25</v>
      </c>
      <c r="H386" s="6">
        <v>0</v>
      </c>
      <c r="I386" s="11">
        <v>0</v>
      </c>
      <c r="J386">
        <v>1</v>
      </c>
    </row>
    <row r="387" spans="1:10" x14ac:dyDescent="0.45">
      <c r="A387" s="9">
        <v>438</v>
      </c>
      <c r="B387" s="6" t="s">
        <v>1743</v>
      </c>
      <c r="C387" s="12">
        <v>0.15</v>
      </c>
      <c r="D387" s="10">
        <v>0</v>
      </c>
      <c r="E387" s="10">
        <v>0</v>
      </c>
      <c r="F387" s="6">
        <v>0</v>
      </c>
      <c r="G387" s="6">
        <v>35</v>
      </c>
      <c r="H387" s="6">
        <v>0</v>
      </c>
      <c r="I387" s="11">
        <v>0</v>
      </c>
      <c r="J387">
        <v>1</v>
      </c>
    </row>
    <row r="388" spans="1:10" x14ac:dyDescent="0.45">
      <c r="A388" s="9">
        <v>439</v>
      </c>
      <c r="B388" s="6" t="s">
        <v>1744</v>
      </c>
      <c r="C388" s="12">
        <v>0.15</v>
      </c>
      <c r="D388" s="10">
        <v>0</v>
      </c>
      <c r="E388" s="10">
        <v>0</v>
      </c>
      <c r="F388" s="6">
        <v>0</v>
      </c>
      <c r="G388" s="6">
        <v>35</v>
      </c>
      <c r="H388" s="6">
        <v>0</v>
      </c>
      <c r="I388" s="11">
        <v>0</v>
      </c>
      <c r="J388">
        <v>1</v>
      </c>
    </row>
    <row r="389" spans="1:10" x14ac:dyDescent="0.45">
      <c r="A389" s="9">
        <v>440</v>
      </c>
      <c r="B389" s="6" t="s">
        <v>1745</v>
      </c>
      <c r="C389" s="12">
        <v>0.15</v>
      </c>
      <c r="D389" s="10">
        <v>0</v>
      </c>
      <c r="E389" s="10">
        <v>0</v>
      </c>
      <c r="F389" s="6">
        <v>0</v>
      </c>
      <c r="G389" s="6">
        <v>35</v>
      </c>
      <c r="H389" s="6">
        <v>0</v>
      </c>
      <c r="I389" s="11">
        <v>0</v>
      </c>
      <c r="J389">
        <v>1</v>
      </c>
    </row>
    <row r="390" spans="1:10" x14ac:dyDescent="0.45">
      <c r="A390" s="9">
        <v>441</v>
      </c>
      <c r="B390" s="6" t="s">
        <v>1746</v>
      </c>
      <c r="C390" s="12">
        <v>0.15</v>
      </c>
      <c r="D390" s="10">
        <v>0</v>
      </c>
      <c r="E390" s="10">
        <v>0</v>
      </c>
      <c r="F390" s="6">
        <v>0</v>
      </c>
      <c r="G390" s="6">
        <v>35</v>
      </c>
      <c r="H390" s="6">
        <v>0</v>
      </c>
      <c r="I390" s="11">
        <v>0</v>
      </c>
      <c r="J390">
        <v>1</v>
      </c>
    </row>
    <row r="391" spans="1:10" x14ac:dyDescent="0.45">
      <c r="A391" s="9">
        <v>442</v>
      </c>
      <c r="B391" s="6" t="s">
        <v>1747</v>
      </c>
      <c r="C391" s="12">
        <v>0.15</v>
      </c>
      <c r="D391" s="10">
        <v>0</v>
      </c>
      <c r="E391" s="10">
        <v>0</v>
      </c>
      <c r="F391" s="6">
        <v>0</v>
      </c>
      <c r="G391" s="6">
        <v>35</v>
      </c>
      <c r="H391" s="6">
        <v>0</v>
      </c>
      <c r="I391" s="11">
        <v>0</v>
      </c>
      <c r="J391">
        <v>1</v>
      </c>
    </row>
    <row r="392" spans="1:10" x14ac:dyDescent="0.45">
      <c r="A392" s="9">
        <v>443</v>
      </c>
      <c r="B392" s="6" t="s">
        <v>1748</v>
      </c>
      <c r="C392" s="12">
        <v>0.15</v>
      </c>
      <c r="D392" s="10">
        <v>0</v>
      </c>
      <c r="E392" s="10">
        <v>1</v>
      </c>
      <c r="F392" s="6">
        <v>0</v>
      </c>
      <c r="G392" s="6">
        <v>23</v>
      </c>
      <c r="H392" s="6">
        <v>0</v>
      </c>
      <c r="I392" s="11">
        <v>0.2</v>
      </c>
      <c r="J392">
        <v>1</v>
      </c>
    </row>
    <row r="393" spans="1:10" x14ac:dyDescent="0.45">
      <c r="A393" s="9">
        <v>444</v>
      </c>
      <c r="B393" s="6" t="s">
        <v>1749</v>
      </c>
      <c r="C393" s="12">
        <v>0.15</v>
      </c>
      <c r="D393" s="10">
        <v>0</v>
      </c>
      <c r="E393" s="10">
        <v>0</v>
      </c>
      <c r="F393" s="6">
        <v>0</v>
      </c>
      <c r="G393" s="6">
        <v>25</v>
      </c>
      <c r="H393" s="6">
        <v>0</v>
      </c>
      <c r="I393" s="11">
        <v>0</v>
      </c>
      <c r="J393">
        <v>1</v>
      </c>
    </row>
    <row r="394" spans="1:10" x14ac:dyDescent="0.45">
      <c r="A394" s="9">
        <v>445</v>
      </c>
      <c r="B394" s="6" t="s">
        <v>1750</v>
      </c>
      <c r="C394" s="12">
        <v>0.15</v>
      </c>
      <c r="D394" s="10">
        <v>0</v>
      </c>
      <c r="E394" s="10">
        <v>1</v>
      </c>
      <c r="F394" s="6">
        <v>0</v>
      </c>
      <c r="G394" s="6">
        <v>24</v>
      </c>
      <c r="H394" s="6">
        <v>0</v>
      </c>
      <c r="I394" s="11">
        <v>0.35</v>
      </c>
      <c r="J394">
        <v>1</v>
      </c>
    </row>
    <row r="395" spans="1:10" x14ac:dyDescent="0.45">
      <c r="A395" s="9">
        <v>446</v>
      </c>
      <c r="B395" s="6" t="s">
        <v>1751</v>
      </c>
      <c r="C395" s="12">
        <v>0.15</v>
      </c>
      <c r="D395" s="10">
        <v>0</v>
      </c>
      <c r="E395" s="10">
        <v>1</v>
      </c>
      <c r="F395" s="6">
        <v>0</v>
      </c>
      <c r="G395" s="6">
        <v>24</v>
      </c>
      <c r="H395" s="6">
        <v>0</v>
      </c>
      <c r="I395" s="11">
        <v>0.35</v>
      </c>
      <c r="J395">
        <v>1</v>
      </c>
    </row>
    <row r="396" spans="1:10" x14ac:dyDescent="0.45">
      <c r="A396" s="9">
        <v>447</v>
      </c>
      <c r="B396" s="6" t="s">
        <v>1752</v>
      </c>
      <c r="C396" s="12">
        <v>0.15</v>
      </c>
      <c r="D396" s="10">
        <v>0</v>
      </c>
      <c r="E396" s="10">
        <v>1</v>
      </c>
      <c r="F396" s="6">
        <v>0</v>
      </c>
      <c r="G396" s="6">
        <v>24</v>
      </c>
      <c r="H396" s="6">
        <v>0</v>
      </c>
      <c r="I396" s="11">
        <v>0.05</v>
      </c>
      <c r="J396">
        <v>1</v>
      </c>
    </row>
    <row r="397" spans="1:10" x14ac:dyDescent="0.45">
      <c r="A397" s="9">
        <v>448</v>
      </c>
      <c r="B397" s="6" t="s">
        <v>1753</v>
      </c>
      <c r="C397" s="12">
        <v>0.15</v>
      </c>
      <c r="D397" s="10">
        <v>0</v>
      </c>
      <c r="E397" s="10">
        <v>1</v>
      </c>
      <c r="F397" s="6">
        <v>0</v>
      </c>
      <c r="G397" s="6">
        <v>24</v>
      </c>
      <c r="H397" s="6">
        <v>0</v>
      </c>
      <c r="I397" s="11">
        <v>0.2</v>
      </c>
      <c r="J397">
        <v>1</v>
      </c>
    </row>
    <row r="398" spans="1:10" x14ac:dyDescent="0.45">
      <c r="A398" s="9">
        <v>449</v>
      </c>
      <c r="B398" s="6" t="s">
        <v>1754</v>
      </c>
      <c r="C398" s="12">
        <v>0.15</v>
      </c>
      <c r="D398" s="10">
        <v>0</v>
      </c>
      <c r="E398" s="10">
        <v>1</v>
      </c>
      <c r="F398" s="6">
        <v>0</v>
      </c>
      <c r="G398" s="6">
        <v>24</v>
      </c>
      <c r="H398" s="6">
        <v>0</v>
      </c>
      <c r="I398" s="11">
        <v>0.2</v>
      </c>
      <c r="J398">
        <v>1</v>
      </c>
    </row>
    <row r="399" spans="1:10" x14ac:dyDescent="0.45">
      <c r="A399" s="9">
        <v>450</v>
      </c>
      <c r="B399" s="6" t="s">
        <v>1755</v>
      </c>
      <c r="C399" s="12">
        <v>0</v>
      </c>
      <c r="D399" s="10">
        <v>1</v>
      </c>
      <c r="E399" s="10">
        <v>0</v>
      </c>
      <c r="F399" s="6">
        <v>0</v>
      </c>
      <c r="G399" s="6">
        <v>24</v>
      </c>
      <c r="H399" s="6">
        <v>0</v>
      </c>
      <c r="I399" s="11">
        <v>0.2</v>
      </c>
      <c r="J399">
        <v>1</v>
      </c>
    </row>
    <row r="400" spans="1:10" x14ac:dyDescent="0.45">
      <c r="A400" s="9">
        <v>451</v>
      </c>
      <c r="B400" s="6" t="s">
        <v>1756</v>
      </c>
      <c r="C400" s="12">
        <v>0</v>
      </c>
      <c r="D400" s="10">
        <v>1</v>
      </c>
      <c r="E400" s="10">
        <v>0</v>
      </c>
      <c r="F400" s="6">
        <v>0</v>
      </c>
      <c r="G400" s="6">
        <v>33</v>
      </c>
      <c r="H400" s="6">
        <v>0</v>
      </c>
      <c r="I400" s="11">
        <v>0</v>
      </c>
      <c r="J400">
        <v>1</v>
      </c>
    </row>
    <row r="401" spans="1:10" x14ac:dyDescent="0.45">
      <c r="A401" s="9">
        <v>452</v>
      </c>
      <c r="B401" s="6" t="s">
        <v>1757</v>
      </c>
      <c r="C401" s="12">
        <v>0</v>
      </c>
      <c r="D401" s="10">
        <v>1</v>
      </c>
      <c r="E401" s="10">
        <v>1</v>
      </c>
      <c r="F401" s="6">
        <v>0</v>
      </c>
      <c r="G401" s="6">
        <v>34</v>
      </c>
      <c r="H401" s="6">
        <v>0</v>
      </c>
      <c r="I401" s="11">
        <v>0.2</v>
      </c>
      <c r="J401">
        <v>1</v>
      </c>
    </row>
    <row r="402" spans="1:10" x14ac:dyDescent="0.45">
      <c r="A402" s="9">
        <v>453</v>
      </c>
      <c r="B402" s="6" t="s">
        <v>1758</v>
      </c>
      <c r="C402" s="12">
        <v>0</v>
      </c>
      <c r="D402" s="10">
        <v>1</v>
      </c>
      <c r="E402" s="10">
        <v>0</v>
      </c>
      <c r="F402" s="6">
        <v>0</v>
      </c>
      <c r="G402" s="6">
        <v>34</v>
      </c>
      <c r="H402" s="6">
        <v>0</v>
      </c>
      <c r="I402" s="11">
        <v>0</v>
      </c>
      <c r="J402">
        <v>1</v>
      </c>
    </row>
    <row r="403" spans="1:10" x14ac:dyDescent="0.45">
      <c r="A403" s="9">
        <v>454</v>
      </c>
      <c r="B403" s="6" t="s">
        <v>1759</v>
      </c>
      <c r="C403" s="12">
        <v>0</v>
      </c>
      <c r="D403" s="10">
        <v>1</v>
      </c>
      <c r="E403" s="10">
        <v>1</v>
      </c>
      <c r="F403" s="6">
        <v>0</v>
      </c>
      <c r="G403" s="6">
        <v>2</v>
      </c>
      <c r="H403" s="6">
        <v>0</v>
      </c>
      <c r="I403" s="11">
        <v>0.2</v>
      </c>
      <c r="J403">
        <v>1</v>
      </c>
    </row>
    <row r="404" spans="1:10" x14ac:dyDescent="0.45">
      <c r="A404" s="9">
        <v>455</v>
      </c>
      <c r="B404" s="6" t="s">
        <v>1760</v>
      </c>
      <c r="C404" s="12">
        <v>0.15</v>
      </c>
      <c r="D404" s="10">
        <v>0</v>
      </c>
      <c r="E404" s="10">
        <v>1</v>
      </c>
      <c r="F404" s="6">
        <v>0</v>
      </c>
      <c r="G404" s="6">
        <v>7</v>
      </c>
      <c r="H404" s="6">
        <v>0</v>
      </c>
      <c r="I404" s="11">
        <v>0.2</v>
      </c>
      <c r="J404">
        <v>1</v>
      </c>
    </row>
    <row r="405" spans="1:10" x14ac:dyDescent="0.45">
      <c r="A405" s="9">
        <v>456</v>
      </c>
      <c r="B405" s="6" t="s">
        <v>1761</v>
      </c>
      <c r="C405" s="12">
        <v>0.15</v>
      </c>
      <c r="D405" s="10">
        <v>0</v>
      </c>
      <c r="E405" s="10">
        <v>0</v>
      </c>
      <c r="F405" s="6">
        <v>0</v>
      </c>
      <c r="G405" s="6">
        <v>27</v>
      </c>
      <c r="H405" s="6">
        <v>0</v>
      </c>
      <c r="I405" s="11">
        <v>0</v>
      </c>
      <c r="J405">
        <v>1</v>
      </c>
    </row>
    <row r="406" spans="1:10" x14ac:dyDescent="0.45">
      <c r="A406" s="9">
        <v>457</v>
      </c>
      <c r="B406" s="6" t="s">
        <v>1762</v>
      </c>
      <c r="C406" s="12">
        <v>0.15</v>
      </c>
      <c r="D406" s="10">
        <v>0</v>
      </c>
      <c r="E406" s="10">
        <v>0</v>
      </c>
      <c r="F406" s="6">
        <v>0</v>
      </c>
      <c r="G406" s="6">
        <v>27</v>
      </c>
      <c r="H406" s="6">
        <v>0</v>
      </c>
      <c r="I406" s="11">
        <v>0</v>
      </c>
      <c r="J406">
        <v>1</v>
      </c>
    </row>
    <row r="407" spans="1:10" x14ac:dyDescent="0.45">
      <c r="A407" s="9">
        <v>458</v>
      </c>
      <c r="B407" s="6" t="s">
        <v>1763</v>
      </c>
      <c r="C407" s="12">
        <v>0.15</v>
      </c>
      <c r="D407" s="10">
        <v>0</v>
      </c>
      <c r="E407" s="10">
        <v>0</v>
      </c>
      <c r="F407" s="6">
        <v>0</v>
      </c>
      <c r="G407" s="6">
        <v>27</v>
      </c>
      <c r="H407" s="6">
        <v>0</v>
      </c>
      <c r="I407" s="11">
        <v>0</v>
      </c>
      <c r="J407">
        <v>1</v>
      </c>
    </row>
    <row r="408" spans="1:10" x14ac:dyDescent="0.45">
      <c r="A408" s="9">
        <v>459</v>
      </c>
      <c r="B408" s="6" t="s">
        <v>1764</v>
      </c>
      <c r="C408" s="12">
        <v>0.15</v>
      </c>
      <c r="D408" s="10">
        <v>0</v>
      </c>
      <c r="E408" s="10">
        <v>0</v>
      </c>
      <c r="F408" s="6">
        <v>0</v>
      </c>
      <c r="G408" s="6">
        <v>27</v>
      </c>
      <c r="H408" s="6">
        <v>0</v>
      </c>
      <c r="I408" s="11">
        <v>0</v>
      </c>
      <c r="J408">
        <v>1</v>
      </c>
    </row>
    <row r="409" spans="1:10" x14ac:dyDescent="0.45">
      <c r="A409" s="9">
        <v>460</v>
      </c>
      <c r="B409" s="6" t="s">
        <v>1765</v>
      </c>
      <c r="C409" s="12">
        <v>0.15</v>
      </c>
      <c r="D409" s="10">
        <v>0</v>
      </c>
      <c r="E409" s="10">
        <v>0</v>
      </c>
      <c r="F409" s="6">
        <v>0</v>
      </c>
      <c r="G409" s="6">
        <v>27</v>
      </c>
      <c r="H409" s="6">
        <v>0</v>
      </c>
      <c r="I409" s="11">
        <v>0</v>
      </c>
      <c r="J409">
        <v>1</v>
      </c>
    </row>
    <row r="410" spans="1:10" x14ac:dyDescent="0.45">
      <c r="A410" s="9">
        <v>461</v>
      </c>
      <c r="B410" s="6" t="s">
        <v>1766</v>
      </c>
      <c r="C410" s="12">
        <v>0.15</v>
      </c>
      <c r="D410" s="10">
        <v>0</v>
      </c>
      <c r="E410" s="10">
        <v>0</v>
      </c>
      <c r="F410" s="6">
        <v>0</v>
      </c>
      <c r="G410" s="6">
        <v>27</v>
      </c>
      <c r="H410" s="6">
        <v>0</v>
      </c>
      <c r="I410" s="11">
        <v>0</v>
      </c>
      <c r="J410">
        <v>1</v>
      </c>
    </row>
    <row r="411" spans="1:10" x14ac:dyDescent="0.45">
      <c r="A411" s="9">
        <v>462</v>
      </c>
      <c r="B411" s="6" t="s">
        <v>1767</v>
      </c>
      <c r="C411" s="12">
        <v>0.15</v>
      </c>
      <c r="D411" s="10">
        <v>0</v>
      </c>
      <c r="E411" s="10">
        <v>0</v>
      </c>
      <c r="F411" s="6">
        <v>0</v>
      </c>
      <c r="G411" s="6">
        <v>28</v>
      </c>
      <c r="H411" s="6">
        <v>0</v>
      </c>
      <c r="I411" s="11">
        <v>0</v>
      </c>
      <c r="J411">
        <v>1</v>
      </c>
    </row>
    <row r="412" spans="1:10" x14ac:dyDescent="0.45">
      <c r="A412" s="9">
        <v>463</v>
      </c>
      <c r="B412" s="6" t="s">
        <v>1768</v>
      </c>
      <c r="C412" s="12">
        <v>0.15</v>
      </c>
      <c r="D412" s="10">
        <v>0</v>
      </c>
      <c r="E412" s="10">
        <v>0</v>
      </c>
      <c r="F412" s="6">
        <v>0</v>
      </c>
      <c r="G412" s="6">
        <v>28</v>
      </c>
      <c r="H412" s="6">
        <v>0</v>
      </c>
      <c r="I412" s="11">
        <v>0</v>
      </c>
      <c r="J412">
        <v>1</v>
      </c>
    </row>
    <row r="413" spans="1:10" x14ac:dyDescent="0.45">
      <c r="A413" s="9">
        <v>464</v>
      </c>
      <c r="B413" s="6" t="s">
        <v>1769</v>
      </c>
      <c r="C413" s="12">
        <v>0</v>
      </c>
      <c r="D413" s="10">
        <v>1</v>
      </c>
      <c r="E413" s="10">
        <v>0</v>
      </c>
      <c r="F413" s="6">
        <v>0</v>
      </c>
      <c r="G413" s="6">
        <v>1</v>
      </c>
      <c r="H413" s="6">
        <v>0</v>
      </c>
      <c r="I413" s="11">
        <v>0</v>
      </c>
      <c r="J413">
        <v>1</v>
      </c>
    </row>
    <row r="414" spans="1:10" x14ac:dyDescent="0.45">
      <c r="A414" s="9">
        <v>465</v>
      </c>
      <c r="B414" s="6" t="s">
        <v>1770</v>
      </c>
      <c r="C414" s="12">
        <v>0.15</v>
      </c>
      <c r="D414" s="10">
        <v>0</v>
      </c>
      <c r="E414" s="10">
        <v>0</v>
      </c>
      <c r="F414" s="6">
        <v>0</v>
      </c>
      <c r="G414" s="6">
        <v>19</v>
      </c>
      <c r="H414" s="6">
        <v>0</v>
      </c>
      <c r="I414" s="11">
        <v>0.05</v>
      </c>
      <c r="J414">
        <v>1</v>
      </c>
    </row>
    <row r="415" spans="1:10" x14ac:dyDescent="0.45">
      <c r="A415" s="9">
        <v>466</v>
      </c>
      <c r="B415" s="6" t="s">
        <v>1771</v>
      </c>
      <c r="C415" s="12">
        <v>0.15</v>
      </c>
      <c r="D415" s="10">
        <v>0</v>
      </c>
      <c r="E415" s="10">
        <v>0</v>
      </c>
      <c r="F415" s="6">
        <v>0</v>
      </c>
      <c r="G415" s="6">
        <v>19</v>
      </c>
      <c r="H415" s="6">
        <v>0</v>
      </c>
      <c r="I415" s="11">
        <v>0.05</v>
      </c>
      <c r="J415">
        <v>1</v>
      </c>
    </row>
    <row r="416" spans="1:10" x14ac:dyDescent="0.45">
      <c r="A416" s="9">
        <v>467</v>
      </c>
      <c r="B416" s="6" t="s">
        <v>1772</v>
      </c>
      <c r="C416" s="12">
        <v>0.15</v>
      </c>
      <c r="D416" s="10">
        <v>0</v>
      </c>
      <c r="E416" s="10">
        <v>0</v>
      </c>
      <c r="F416" s="6">
        <v>0</v>
      </c>
      <c r="G416" s="6">
        <v>7</v>
      </c>
      <c r="H416" s="6">
        <v>0</v>
      </c>
      <c r="I416" s="11">
        <v>0.05</v>
      </c>
      <c r="J416">
        <v>1</v>
      </c>
    </row>
    <row r="417" spans="1:10" x14ac:dyDescent="0.45">
      <c r="A417" s="9">
        <v>468</v>
      </c>
      <c r="B417" s="6" t="s">
        <v>1773</v>
      </c>
      <c r="C417" s="12">
        <v>0</v>
      </c>
      <c r="D417" s="10">
        <v>1</v>
      </c>
      <c r="E417" s="10">
        <v>0</v>
      </c>
      <c r="F417" s="6">
        <v>0</v>
      </c>
      <c r="G417" s="6">
        <v>1</v>
      </c>
      <c r="H417" s="6">
        <v>0</v>
      </c>
      <c r="I417" s="11">
        <v>0</v>
      </c>
      <c r="J417">
        <v>1</v>
      </c>
    </row>
    <row r="418" spans="1:10" x14ac:dyDescent="0.45">
      <c r="A418" s="9">
        <v>469</v>
      </c>
      <c r="B418" s="6" t="s">
        <v>1774</v>
      </c>
      <c r="C418" s="12">
        <v>0.15</v>
      </c>
      <c r="D418" s="10">
        <v>0</v>
      </c>
      <c r="E418" s="10">
        <v>1</v>
      </c>
      <c r="F418" s="6">
        <v>0</v>
      </c>
      <c r="G418" s="6">
        <v>10</v>
      </c>
      <c r="H418" s="6">
        <v>0</v>
      </c>
      <c r="I418" s="11">
        <v>0.2</v>
      </c>
      <c r="J418">
        <v>1</v>
      </c>
    </row>
    <row r="419" spans="1:10" x14ac:dyDescent="0.45">
      <c r="A419" s="9">
        <v>470</v>
      </c>
      <c r="B419" s="6" t="s">
        <v>1775</v>
      </c>
      <c r="C419" s="12">
        <v>0.15</v>
      </c>
      <c r="D419" s="10">
        <v>0</v>
      </c>
      <c r="E419" s="10">
        <v>1</v>
      </c>
      <c r="F419" s="6">
        <v>0</v>
      </c>
      <c r="G419" s="6">
        <v>16</v>
      </c>
      <c r="H419" s="6">
        <v>0</v>
      </c>
      <c r="I419" s="11">
        <v>0.1</v>
      </c>
      <c r="J419">
        <v>1</v>
      </c>
    </row>
    <row r="420" spans="1:10" x14ac:dyDescent="0.45">
      <c r="A420" s="9">
        <v>471</v>
      </c>
      <c r="B420" s="6" t="s">
        <v>1776</v>
      </c>
      <c r="C420" s="12">
        <v>0.15</v>
      </c>
      <c r="D420" s="10">
        <v>0</v>
      </c>
      <c r="E420" s="10">
        <v>1</v>
      </c>
      <c r="F420" s="6">
        <v>0</v>
      </c>
      <c r="G420" s="6">
        <v>16</v>
      </c>
      <c r="H420" s="6">
        <v>0</v>
      </c>
      <c r="I420" s="11">
        <v>0.1</v>
      </c>
      <c r="J420">
        <v>1</v>
      </c>
    </row>
    <row r="421" spans="1:10" x14ac:dyDescent="0.45">
      <c r="A421" s="9">
        <v>472</v>
      </c>
      <c r="B421" s="6" t="s">
        <v>1777</v>
      </c>
      <c r="C421" s="12">
        <v>0.15</v>
      </c>
      <c r="D421" s="10">
        <v>0</v>
      </c>
      <c r="E421" s="10">
        <v>0</v>
      </c>
      <c r="F421" s="6">
        <v>0</v>
      </c>
      <c r="G421" s="6">
        <v>7</v>
      </c>
      <c r="H421" s="6">
        <v>0</v>
      </c>
      <c r="I421" s="11">
        <v>0</v>
      </c>
      <c r="J421">
        <v>1</v>
      </c>
    </row>
    <row r="422" spans="1:10" x14ac:dyDescent="0.45">
      <c r="A422" s="9">
        <v>473</v>
      </c>
      <c r="B422" s="6" t="s">
        <v>1778</v>
      </c>
      <c r="C422" s="12">
        <v>0.15</v>
      </c>
      <c r="D422" s="10">
        <v>0</v>
      </c>
      <c r="E422" s="10">
        <v>1</v>
      </c>
      <c r="F422" s="6">
        <v>0</v>
      </c>
      <c r="G422" s="6">
        <v>24</v>
      </c>
      <c r="H422" s="6">
        <v>0</v>
      </c>
      <c r="I422" s="11">
        <v>0.2</v>
      </c>
      <c r="J422">
        <v>1</v>
      </c>
    </row>
    <row r="423" spans="1:10" x14ac:dyDescent="0.45">
      <c r="A423" s="9">
        <v>474</v>
      </c>
      <c r="B423" s="6" t="s">
        <v>1779</v>
      </c>
      <c r="C423" s="12">
        <v>0.15</v>
      </c>
      <c r="D423" s="10">
        <v>0</v>
      </c>
      <c r="E423" s="10">
        <v>1</v>
      </c>
      <c r="F423" s="6">
        <v>0</v>
      </c>
      <c r="G423" s="6">
        <v>24</v>
      </c>
      <c r="H423" s="6">
        <v>0</v>
      </c>
      <c r="I423" s="11">
        <v>0.2</v>
      </c>
      <c r="J423">
        <v>1</v>
      </c>
    </row>
    <row r="424" spans="1:10" x14ac:dyDescent="0.45">
      <c r="A424" s="9">
        <v>475</v>
      </c>
      <c r="B424" s="6" t="s">
        <v>1780</v>
      </c>
      <c r="C424" s="12">
        <v>0.15</v>
      </c>
      <c r="D424" s="10">
        <v>0</v>
      </c>
      <c r="E424" s="10">
        <v>1</v>
      </c>
      <c r="F424" s="6">
        <v>0</v>
      </c>
      <c r="G424" s="6">
        <v>18</v>
      </c>
      <c r="H424" s="6">
        <v>0</v>
      </c>
      <c r="I424" s="11">
        <v>0.2</v>
      </c>
      <c r="J424">
        <v>1</v>
      </c>
    </row>
    <row r="425" spans="1:10" x14ac:dyDescent="0.45">
      <c r="A425" s="9">
        <v>476</v>
      </c>
      <c r="B425" s="6" t="s">
        <v>1781</v>
      </c>
      <c r="C425" s="12">
        <v>0.15</v>
      </c>
      <c r="D425" s="10">
        <v>0</v>
      </c>
      <c r="E425" s="10">
        <v>1</v>
      </c>
      <c r="F425" s="6">
        <v>0</v>
      </c>
      <c r="G425" s="6">
        <v>18</v>
      </c>
      <c r="H425" s="6">
        <v>0</v>
      </c>
      <c r="I425" s="11">
        <v>0.2</v>
      </c>
      <c r="J425">
        <v>1</v>
      </c>
    </row>
    <row r="426" spans="1:10" x14ac:dyDescent="0.45">
      <c r="A426" s="9">
        <v>477</v>
      </c>
      <c r="B426" s="6" t="s">
        <v>1782</v>
      </c>
      <c r="C426" s="12">
        <v>0.15</v>
      </c>
      <c r="D426" s="10">
        <v>0</v>
      </c>
      <c r="E426" s="10">
        <v>1</v>
      </c>
      <c r="F426" s="6">
        <v>0</v>
      </c>
      <c r="G426" s="6">
        <v>18</v>
      </c>
      <c r="H426" s="6">
        <v>0</v>
      </c>
      <c r="I426" s="11">
        <v>0.2</v>
      </c>
      <c r="J426">
        <v>1</v>
      </c>
    </row>
    <row r="427" spans="1:10" x14ac:dyDescent="0.45">
      <c r="A427" s="9">
        <v>478</v>
      </c>
      <c r="B427" s="6" t="s">
        <v>1783</v>
      </c>
      <c r="C427" s="12">
        <v>0.15</v>
      </c>
      <c r="D427" s="10">
        <v>0</v>
      </c>
      <c r="E427" s="10">
        <v>0</v>
      </c>
      <c r="F427" s="6">
        <v>0</v>
      </c>
      <c r="G427" s="6">
        <v>19</v>
      </c>
      <c r="H427" s="6">
        <v>0</v>
      </c>
      <c r="I427" s="11">
        <v>0</v>
      </c>
      <c r="J427">
        <v>1</v>
      </c>
    </row>
    <row r="428" spans="1:10" x14ac:dyDescent="0.45">
      <c r="A428" s="9">
        <v>479</v>
      </c>
      <c r="B428" s="6" t="s">
        <v>1784</v>
      </c>
      <c r="C428" s="12">
        <v>0.15</v>
      </c>
      <c r="D428" s="10">
        <v>0</v>
      </c>
      <c r="E428" s="10">
        <v>1</v>
      </c>
      <c r="F428" s="6">
        <v>0</v>
      </c>
      <c r="G428" s="6">
        <v>20</v>
      </c>
      <c r="H428" s="6">
        <v>0</v>
      </c>
      <c r="I428" s="11">
        <v>0.2</v>
      </c>
      <c r="J428">
        <v>1</v>
      </c>
    </row>
    <row r="429" spans="1:10" x14ac:dyDescent="0.45">
      <c r="A429" s="9">
        <v>480</v>
      </c>
      <c r="B429" s="6" t="s">
        <v>1785</v>
      </c>
      <c r="C429" s="12">
        <v>0.15</v>
      </c>
      <c r="D429" s="10">
        <v>0</v>
      </c>
      <c r="E429" s="10">
        <v>1</v>
      </c>
      <c r="F429" s="6">
        <v>0</v>
      </c>
      <c r="G429" s="6">
        <v>21</v>
      </c>
      <c r="H429" s="6">
        <v>0</v>
      </c>
      <c r="I429" s="11">
        <v>0.2</v>
      </c>
      <c r="J429">
        <v>1</v>
      </c>
    </row>
    <row r="430" spans="1:10" x14ac:dyDescent="0.45">
      <c r="A430" s="9">
        <v>481</v>
      </c>
      <c r="B430" s="6" t="s">
        <v>1786</v>
      </c>
      <c r="C430" s="12">
        <v>0.15</v>
      </c>
      <c r="D430" s="10">
        <v>0</v>
      </c>
      <c r="E430" s="10">
        <v>1</v>
      </c>
      <c r="F430" s="6">
        <v>0</v>
      </c>
      <c r="G430" s="6">
        <v>21</v>
      </c>
      <c r="H430" s="6">
        <v>0</v>
      </c>
      <c r="I430" s="11">
        <v>0.2</v>
      </c>
      <c r="J430">
        <v>1</v>
      </c>
    </row>
    <row r="431" spans="1:10" x14ac:dyDescent="0.45">
      <c r="A431" s="9">
        <v>482</v>
      </c>
      <c r="B431" s="6" t="s">
        <v>1787</v>
      </c>
      <c r="C431" s="12">
        <v>0.15</v>
      </c>
      <c r="D431" s="10">
        <v>0</v>
      </c>
      <c r="E431" s="10">
        <v>1</v>
      </c>
      <c r="F431" s="6">
        <v>0</v>
      </c>
      <c r="G431" s="6">
        <v>20</v>
      </c>
      <c r="H431" s="6">
        <v>0</v>
      </c>
      <c r="I431" s="11">
        <v>0.2</v>
      </c>
      <c r="J431">
        <v>1</v>
      </c>
    </row>
    <row r="432" spans="1:10" x14ac:dyDescent="0.45">
      <c r="A432" s="9">
        <v>483</v>
      </c>
      <c r="B432" s="6" t="s">
        <v>1788</v>
      </c>
      <c r="C432" s="12">
        <v>0.15</v>
      </c>
      <c r="D432" s="10">
        <v>0</v>
      </c>
      <c r="E432" s="10">
        <v>1</v>
      </c>
      <c r="F432" s="6">
        <v>0</v>
      </c>
      <c r="G432" s="6">
        <v>9</v>
      </c>
      <c r="H432" s="6">
        <v>0</v>
      </c>
      <c r="I432" s="11">
        <v>0.2</v>
      </c>
      <c r="J432">
        <v>1</v>
      </c>
    </row>
    <row r="433" spans="1:10" x14ac:dyDescent="0.45">
      <c r="A433" s="9">
        <v>484</v>
      </c>
      <c r="B433" s="6" t="s">
        <v>1789</v>
      </c>
      <c r="C433" s="12">
        <v>0.15</v>
      </c>
      <c r="D433" s="10">
        <v>0</v>
      </c>
      <c r="E433" s="10">
        <v>1</v>
      </c>
      <c r="F433" s="6">
        <v>0</v>
      </c>
      <c r="G433" s="6">
        <v>9</v>
      </c>
      <c r="H433" s="6">
        <v>0</v>
      </c>
      <c r="I433" s="11">
        <v>0.2</v>
      </c>
      <c r="J433">
        <v>1</v>
      </c>
    </row>
    <row r="434" spans="1:10" x14ac:dyDescent="0.45">
      <c r="A434" s="9">
        <v>485</v>
      </c>
      <c r="B434" s="6" t="s">
        <v>1790</v>
      </c>
      <c r="C434" s="12">
        <v>0.15</v>
      </c>
      <c r="D434" s="10">
        <v>0</v>
      </c>
      <c r="E434" s="10">
        <v>1</v>
      </c>
      <c r="F434" s="6">
        <v>0</v>
      </c>
      <c r="G434" s="6">
        <v>9</v>
      </c>
      <c r="H434" s="6">
        <v>0</v>
      </c>
      <c r="I434" s="11">
        <v>0.2</v>
      </c>
      <c r="J434">
        <v>1</v>
      </c>
    </row>
    <row r="435" spans="1:10" x14ac:dyDescent="0.45">
      <c r="A435" s="9">
        <v>486</v>
      </c>
      <c r="B435" s="6" t="s">
        <v>1791</v>
      </c>
      <c r="C435" s="12">
        <v>0.15</v>
      </c>
      <c r="D435" s="10">
        <v>0</v>
      </c>
      <c r="E435" s="10">
        <v>1</v>
      </c>
      <c r="F435" s="6">
        <v>0</v>
      </c>
      <c r="G435" s="6">
        <v>9</v>
      </c>
      <c r="H435" s="6">
        <v>0</v>
      </c>
      <c r="I435" s="11">
        <v>0.2</v>
      </c>
      <c r="J435">
        <v>1</v>
      </c>
    </row>
    <row r="436" spans="1:10" x14ac:dyDescent="0.45">
      <c r="A436" s="9">
        <v>487</v>
      </c>
      <c r="B436" s="6" t="s">
        <v>1792</v>
      </c>
      <c r="C436" s="12">
        <v>0.15</v>
      </c>
      <c r="D436" s="10">
        <v>0</v>
      </c>
      <c r="E436" s="10">
        <v>1</v>
      </c>
      <c r="F436" s="6">
        <v>0</v>
      </c>
      <c r="G436" s="6">
        <v>9</v>
      </c>
      <c r="H436" s="6">
        <v>0</v>
      </c>
      <c r="I436" s="11">
        <v>0.2</v>
      </c>
      <c r="J436">
        <v>1</v>
      </c>
    </row>
    <row r="437" spans="1:10" x14ac:dyDescent="0.45">
      <c r="A437" s="9">
        <v>488</v>
      </c>
      <c r="B437" s="6" t="s">
        <v>1793</v>
      </c>
      <c r="C437" s="12">
        <v>0.15</v>
      </c>
      <c r="D437" s="10">
        <v>0</v>
      </c>
      <c r="E437" s="10">
        <v>1</v>
      </c>
      <c r="F437" s="6">
        <v>0</v>
      </c>
      <c r="G437" s="6">
        <v>9</v>
      </c>
      <c r="H437" s="6">
        <v>0</v>
      </c>
      <c r="I437" s="11">
        <v>0.2</v>
      </c>
      <c r="J437">
        <v>1</v>
      </c>
    </row>
    <row r="438" spans="1:10" x14ac:dyDescent="0.45">
      <c r="A438" s="9">
        <v>489</v>
      </c>
      <c r="B438" s="6" t="s">
        <v>1794</v>
      </c>
      <c r="C438" s="12">
        <v>0.15</v>
      </c>
      <c r="D438" s="10">
        <v>0</v>
      </c>
      <c r="E438" s="10">
        <v>1</v>
      </c>
      <c r="F438" s="6">
        <v>0</v>
      </c>
      <c r="G438" s="6">
        <v>9</v>
      </c>
      <c r="H438" s="6">
        <v>0</v>
      </c>
      <c r="I438" s="11">
        <v>0.2</v>
      </c>
      <c r="J438">
        <v>1</v>
      </c>
    </row>
    <row r="439" spans="1:10" x14ac:dyDescent="0.45">
      <c r="A439" s="9">
        <v>490</v>
      </c>
      <c r="B439" s="6" t="s">
        <v>1795</v>
      </c>
      <c r="C439" s="12">
        <v>0.15</v>
      </c>
      <c r="D439" s="10">
        <v>0</v>
      </c>
      <c r="E439" s="10">
        <v>0</v>
      </c>
      <c r="F439" s="6">
        <v>0</v>
      </c>
      <c r="G439" s="6">
        <v>33</v>
      </c>
      <c r="H439" s="6">
        <v>0</v>
      </c>
      <c r="I439" s="11">
        <v>0</v>
      </c>
      <c r="J439">
        <v>1</v>
      </c>
    </row>
    <row r="440" spans="1:10" x14ac:dyDescent="0.45">
      <c r="A440" s="9">
        <v>491</v>
      </c>
      <c r="B440" s="6" t="s">
        <v>1796</v>
      </c>
      <c r="C440" s="12">
        <v>0</v>
      </c>
      <c r="D440" s="10">
        <v>1</v>
      </c>
      <c r="E440" s="10">
        <v>0</v>
      </c>
      <c r="F440" s="6">
        <v>0</v>
      </c>
      <c r="G440" s="6">
        <v>33</v>
      </c>
      <c r="H440" s="6">
        <v>0</v>
      </c>
      <c r="I440" s="11">
        <v>0</v>
      </c>
      <c r="J440">
        <v>1</v>
      </c>
    </row>
    <row r="441" spans="1:10" x14ac:dyDescent="0.45">
      <c r="A441" s="9">
        <v>492</v>
      </c>
      <c r="B441" s="6" t="s">
        <v>1797</v>
      </c>
      <c r="C441" s="12">
        <v>0.15</v>
      </c>
      <c r="D441" s="10">
        <v>0</v>
      </c>
      <c r="E441" s="10">
        <v>0</v>
      </c>
      <c r="F441" s="6">
        <v>0</v>
      </c>
      <c r="G441" s="6">
        <v>35</v>
      </c>
      <c r="H441" s="6">
        <v>0</v>
      </c>
      <c r="I441" s="11">
        <v>0</v>
      </c>
      <c r="J441">
        <v>1</v>
      </c>
    </row>
    <row r="442" spans="1:10" x14ac:dyDescent="0.45">
      <c r="A442" s="9">
        <v>493</v>
      </c>
      <c r="B442" s="6" t="s">
        <v>1798</v>
      </c>
      <c r="C442" s="12">
        <v>0.15</v>
      </c>
      <c r="D442" s="10">
        <v>0</v>
      </c>
      <c r="E442" s="10">
        <v>0</v>
      </c>
      <c r="F442" s="6">
        <v>0</v>
      </c>
      <c r="G442" s="6">
        <v>35</v>
      </c>
      <c r="H442" s="6">
        <v>0</v>
      </c>
      <c r="I442" s="11">
        <v>0</v>
      </c>
      <c r="J442">
        <v>1</v>
      </c>
    </row>
    <row r="443" spans="1:10" x14ac:dyDescent="0.45">
      <c r="A443" s="9">
        <v>494</v>
      </c>
      <c r="B443" s="6" t="s">
        <v>1799</v>
      </c>
      <c r="C443" s="12">
        <v>0.15</v>
      </c>
      <c r="D443" s="10">
        <v>0</v>
      </c>
      <c r="E443" s="10">
        <v>0</v>
      </c>
      <c r="F443" s="6">
        <v>0</v>
      </c>
      <c r="G443" s="6">
        <v>35</v>
      </c>
      <c r="H443" s="6">
        <v>0</v>
      </c>
      <c r="I443" s="11">
        <v>0</v>
      </c>
      <c r="J443">
        <v>1</v>
      </c>
    </row>
    <row r="444" spans="1:10" x14ac:dyDescent="0.45">
      <c r="A444" s="9">
        <v>495</v>
      </c>
      <c r="B444" s="6" t="s">
        <v>1800</v>
      </c>
      <c r="C444" s="12">
        <v>0.15</v>
      </c>
      <c r="D444" s="10">
        <v>0</v>
      </c>
      <c r="E444" s="10">
        <v>0</v>
      </c>
      <c r="F444" s="6">
        <v>0</v>
      </c>
      <c r="G444" s="6">
        <v>35</v>
      </c>
      <c r="H444" s="6">
        <v>0</v>
      </c>
      <c r="I444" s="11">
        <v>0.2</v>
      </c>
      <c r="J444">
        <v>1</v>
      </c>
    </row>
    <row r="445" spans="1:10" x14ac:dyDescent="0.45">
      <c r="A445" s="9">
        <v>496</v>
      </c>
      <c r="B445" s="6" t="s">
        <v>1801</v>
      </c>
      <c r="C445" s="12">
        <v>0.15</v>
      </c>
      <c r="D445" s="10">
        <v>0</v>
      </c>
      <c r="E445" s="10">
        <v>1</v>
      </c>
      <c r="F445" s="6">
        <v>0</v>
      </c>
      <c r="G445" s="6">
        <v>35</v>
      </c>
      <c r="H445" s="6">
        <v>0</v>
      </c>
      <c r="I445" s="11">
        <v>0.2</v>
      </c>
      <c r="J445">
        <v>1</v>
      </c>
    </row>
    <row r="446" spans="1:10" x14ac:dyDescent="0.45">
      <c r="A446" s="9">
        <v>497</v>
      </c>
      <c r="B446" s="6" t="s">
        <v>1802</v>
      </c>
      <c r="C446" s="12">
        <v>0.15</v>
      </c>
      <c r="D446" s="10">
        <v>0</v>
      </c>
      <c r="E446" s="10">
        <v>0</v>
      </c>
      <c r="F446" s="6">
        <v>0</v>
      </c>
      <c r="G446" s="6">
        <v>9</v>
      </c>
      <c r="H446" s="6">
        <v>0</v>
      </c>
      <c r="I446" s="11">
        <v>0.2</v>
      </c>
      <c r="J446">
        <v>1</v>
      </c>
    </row>
    <row r="447" spans="1:10" x14ac:dyDescent="0.45">
      <c r="A447" s="9">
        <v>498</v>
      </c>
      <c r="B447" s="6" t="s">
        <v>1803</v>
      </c>
      <c r="C447" s="12">
        <v>0</v>
      </c>
      <c r="D447" s="10">
        <v>1</v>
      </c>
      <c r="E447" s="10">
        <v>0</v>
      </c>
      <c r="F447" s="6">
        <v>0</v>
      </c>
      <c r="G447" s="6">
        <v>1</v>
      </c>
      <c r="H447" s="6">
        <v>0</v>
      </c>
      <c r="I447" s="11">
        <v>0</v>
      </c>
      <c r="J447">
        <v>1</v>
      </c>
    </row>
    <row r="448" spans="1:10" x14ac:dyDescent="0.45">
      <c r="A448" s="9">
        <v>499</v>
      </c>
      <c r="B448" s="6" t="s">
        <v>1804</v>
      </c>
      <c r="C448" s="12">
        <v>0.15</v>
      </c>
      <c r="D448" s="10">
        <v>0</v>
      </c>
      <c r="E448" s="10">
        <v>0</v>
      </c>
      <c r="F448" s="6">
        <v>0</v>
      </c>
      <c r="G448" s="6">
        <v>28</v>
      </c>
      <c r="H448" s="6">
        <v>0</v>
      </c>
      <c r="I448" s="11">
        <v>0</v>
      </c>
      <c r="J448">
        <v>1</v>
      </c>
    </row>
    <row r="449" spans="1:10" x14ac:dyDescent="0.45">
      <c r="A449" s="9">
        <v>500</v>
      </c>
      <c r="B449" s="6" t="s">
        <v>1805</v>
      </c>
      <c r="C449" s="12">
        <v>0.15</v>
      </c>
      <c r="D449" s="10">
        <v>0</v>
      </c>
      <c r="E449" s="10">
        <v>0</v>
      </c>
      <c r="F449" s="6">
        <v>0</v>
      </c>
      <c r="G449" s="6">
        <v>27</v>
      </c>
      <c r="H449" s="6">
        <v>0</v>
      </c>
      <c r="I449" s="11">
        <v>0</v>
      </c>
      <c r="J449">
        <v>1</v>
      </c>
    </row>
    <row r="450" spans="1:10" x14ac:dyDescent="0.45">
      <c r="A450" s="9">
        <v>501</v>
      </c>
      <c r="B450" s="6" t="s">
        <v>1806</v>
      </c>
      <c r="C450" s="12">
        <v>0</v>
      </c>
      <c r="D450" s="10">
        <v>1</v>
      </c>
      <c r="E450" s="10">
        <v>0</v>
      </c>
      <c r="F450" s="6">
        <v>0</v>
      </c>
      <c r="G450" s="6">
        <v>1</v>
      </c>
      <c r="H450" s="6">
        <v>0</v>
      </c>
      <c r="I450" s="11">
        <v>0</v>
      </c>
      <c r="J450">
        <v>1</v>
      </c>
    </row>
    <row r="451" spans="1:10" x14ac:dyDescent="0.45">
      <c r="A451" s="9">
        <v>502</v>
      </c>
      <c r="B451" s="6" t="s">
        <v>1807</v>
      </c>
      <c r="C451" s="12">
        <v>0</v>
      </c>
      <c r="D451" s="10">
        <v>1</v>
      </c>
      <c r="E451" s="10">
        <v>0</v>
      </c>
      <c r="F451" s="6">
        <v>0</v>
      </c>
      <c r="G451" s="6">
        <v>33</v>
      </c>
      <c r="H451" s="6">
        <v>0</v>
      </c>
      <c r="I451" s="11">
        <v>0</v>
      </c>
      <c r="J451">
        <v>1</v>
      </c>
    </row>
    <row r="452" spans="1:10" x14ac:dyDescent="0.45">
      <c r="A452" s="9">
        <v>503</v>
      </c>
      <c r="B452" s="6" t="s">
        <v>1808</v>
      </c>
      <c r="C452" s="12">
        <v>0.15</v>
      </c>
      <c r="D452" s="10">
        <v>0</v>
      </c>
      <c r="E452" s="10">
        <v>0</v>
      </c>
      <c r="F452" s="6">
        <v>0</v>
      </c>
      <c r="G452" s="6">
        <v>28</v>
      </c>
      <c r="H452" s="6">
        <v>0</v>
      </c>
      <c r="I452" s="11">
        <v>0</v>
      </c>
      <c r="J452">
        <v>1</v>
      </c>
    </row>
    <row r="453" spans="1:10" x14ac:dyDescent="0.45">
      <c r="A453" s="9">
        <v>504</v>
      </c>
      <c r="B453" s="6" t="s">
        <v>1809</v>
      </c>
      <c r="C453" s="12">
        <v>0.15</v>
      </c>
      <c r="D453" s="10">
        <v>0</v>
      </c>
      <c r="E453" s="10">
        <v>0</v>
      </c>
      <c r="F453" s="6">
        <v>0</v>
      </c>
      <c r="G453" s="6">
        <v>28</v>
      </c>
      <c r="H453" s="6">
        <v>0</v>
      </c>
      <c r="I453" s="11">
        <v>0</v>
      </c>
      <c r="J453">
        <v>1</v>
      </c>
    </row>
    <row r="454" spans="1:10" x14ac:dyDescent="0.45">
      <c r="A454" s="9">
        <v>505</v>
      </c>
      <c r="B454" s="6" t="s">
        <v>1810</v>
      </c>
      <c r="C454" s="12">
        <v>0</v>
      </c>
      <c r="D454" s="10">
        <v>1</v>
      </c>
      <c r="E454" s="10">
        <v>0</v>
      </c>
      <c r="F454" s="6">
        <v>0</v>
      </c>
      <c r="G454" s="6">
        <v>3</v>
      </c>
      <c r="H454" s="6">
        <v>0</v>
      </c>
      <c r="I454" s="11">
        <v>0</v>
      </c>
      <c r="J454">
        <v>1</v>
      </c>
    </row>
    <row r="455" spans="1:10" x14ac:dyDescent="0.45">
      <c r="A455" s="9">
        <v>506</v>
      </c>
      <c r="B455" s="6" t="s">
        <v>1811</v>
      </c>
      <c r="C455" s="12">
        <v>0</v>
      </c>
      <c r="D455" s="10">
        <v>1</v>
      </c>
      <c r="E455" s="10">
        <v>0</v>
      </c>
      <c r="F455" s="6">
        <v>0</v>
      </c>
      <c r="G455" s="6">
        <v>3</v>
      </c>
      <c r="H455" s="6">
        <v>0</v>
      </c>
      <c r="I455" s="11">
        <v>0</v>
      </c>
      <c r="J455">
        <v>1</v>
      </c>
    </row>
    <row r="456" spans="1:10" x14ac:dyDescent="0.45">
      <c r="A456" s="9">
        <v>507</v>
      </c>
      <c r="B456" s="6" t="s">
        <v>1812</v>
      </c>
      <c r="C456" s="12">
        <v>0</v>
      </c>
      <c r="D456" s="10">
        <v>1</v>
      </c>
      <c r="E456" s="10">
        <v>0</v>
      </c>
      <c r="F456" s="6">
        <v>0</v>
      </c>
      <c r="G456" s="6">
        <v>3</v>
      </c>
      <c r="H456" s="6">
        <v>0</v>
      </c>
      <c r="I456" s="11">
        <v>0</v>
      </c>
      <c r="J456">
        <v>1</v>
      </c>
    </row>
    <row r="457" spans="1:10" x14ac:dyDescent="0.45">
      <c r="A457" s="9">
        <v>508</v>
      </c>
      <c r="B457" s="6" t="s">
        <v>1813</v>
      </c>
      <c r="C457" s="12">
        <v>0</v>
      </c>
      <c r="D457" s="10">
        <v>1</v>
      </c>
      <c r="E457" s="10">
        <v>0</v>
      </c>
      <c r="F457" s="6">
        <v>0</v>
      </c>
      <c r="G457" s="6">
        <v>3</v>
      </c>
      <c r="H457" s="6">
        <v>0</v>
      </c>
      <c r="I457" s="11">
        <v>0</v>
      </c>
      <c r="J457">
        <v>1</v>
      </c>
    </row>
    <row r="458" spans="1:10" x14ac:dyDescent="0.45">
      <c r="A458" s="9">
        <v>509</v>
      </c>
      <c r="B458" s="6" t="s">
        <v>1814</v>
      </c>
      <c r="C458" s="12">
        <v>0</v>
      </c>
      <c r="D458" s="10">
        <v>1</v>
      </c>
      <c r="E458" s="10">
        <v>0</v>
      </c>
      <c r="F458" s="6">
        <v>0</v>
      </c>
      <c r="G458" s="6">
        <v>3</v>
      </c>
      <c r="H458" s="6">
        <v>0</v>
      </c>
      <c r="I458" s="11">
        <v>0</v>
      </c>
      <c r="J458">
        <v>1</v>
      </c>
    </row>
    <row r="459" spans="1:10" x14ac:dyDescent="0.45">
      <c r="A459" s="9">
        <v>510</v>
      </c>
      <c r="B459" s="6" t="s">
        <v>1815</v>
      </c>
      <c r="C459" s="12">
        <v>0</v>
      </c>
      <c r="D459" s="10">
        <v>1</v>
      </c>
      <c r="E459" s="10">
        <v>0</v>
      </c>
      <c r="F459" s="6">
        <v>0</v>
      </c>
      <c r="G459" s="6">
        <v>3</v>
      </c>
      <c r="H459" s="6">
        <v>0</v>
      </c>
      <c r="I459" s="11">
        <v>0</v>
      </c>
      <c r="J459">
        <v>1</v>
      </c>
    </row>
    <row r="460" spans="1:10" x14ac:dyDescent="0.45">
      <c r="A460" s="9">
        <v>511</v>
      </c>
      <c r="B460" s="6" t="s">
        <v>1816</v>
      </c>
      <c r="C460" s="12">
        <v>0</v>
      </c>
      <c r="D460" s="10">
        <v>1</v>
      </c>
      <c r="E460" s="10">
        <v>0</v>
      </c>
      <c r="F460" s="6">
        <v>0</v>
      </c>
      <c r="G460" s="6">
        <v>3</v>
      </c>
      <c r="H460" s="6">
        <v>0</v>
      </c>
      <c r="I460" s="11">
        <v>0</v>
      </c>
      <c r="J460">
        <v>1</v>
      </c>
    </row>
    <row r="461" spans="1:10" x14ac:dyDescent="0.45">
      <c r="A461" s="9">
        <v>512</v>
      </c>
      <c r="B461" s="6" t="s">
        <v>1817</v>
      </c>
      <c r="C461" s="12">
        <v>0.15</v>
      </c>
      <c r="D461" s="10">
        <v>0</v>
      </c>
      <c r="E461" s="10">
        <v>1</v>
      </c>
      <c r="F461" s="6">
        <v>0</v>
      </c>
      <c r="G461" s="6">
        <v>21</v>
      </c>
      <c r="H461" s="6">
        <v>0</v>
      </c>
      <c r="I461" s="11">
        <v>0.2</v>
      </c>
      <c r="J461">
        <v>1</v>
      </c>
    </row>
    <row r="462" spans="1:10" x14ac:dyDescent="0.45">
      <c r="A462" s="9">
        <v>513</v>
      </c>
      <c r="B462" s="6" t="s">
        <v>1818</v>
      </c>
      <c r="C462" s="12">
        <v>0</v>
      </c>
      <c r="D462" s="10">
        <v>1</v>
      </c>
      <c r="E462" s="10">
        <v>1</v>
      </c>
      <c r="F462" s="6">
        <v>0</v>
      </c>
      <c r="G462" s="6">
        <v>1</v>
      </c>
      <c r="H462" s="6">
        <v>0</v>
      </c>
      <c r="I462" s="11">
        <v>0</v>
      </c>
      <c r="J462">
        <v>1</v>
      </c>
    </row>
    <row r="463" spans="1:10" x14ac:dyDescent="0.45">
      <c r="A463" s="9">
        <v>514</v>
      </c>
      <c r="B463" s="6" t="s">
        <v>1819</v>
      </c>
      <c r="C463" s="12">
        <v>0.15</v>
      </c>
      <c r="D463" s="10">
        <v>0</v>
      </c>
      <c r="E463" s="10">
        <v>1</v>
      </c>
      <c r="F463" s="6">
        <v>0</v>
      </c>
      <c r="G463" s="6">
        <v>31</v>
      </c>
      <c r="H463" s="6">
        <v>0</v>
      </c>
      <c r="I463" s="11">
        <v>0.2</v>
      </c>
      <c r="J463">
        <v>1</v>
      </c>
    </row>
    <row r="464" spans="1:10" x14ac:dyDescent="0.45">
      <c r="A464" s="9">
        <v>515</v>
      </c>
      <c r="B464" s="6" t="s">
        <v>1820</v>
      </c>
      <c r="C464" s="12">
        <v>0</v>
      </c>
      <c r="D464" s="10">
        <v>1</v>
      </c>
      <c r="E464" s="10">
        <v>0</v>
      </c>
      <c r="F464" s="6">
        <v>0</v>
      </c>
      <c r="G464" s="6">
        <v>3</v>
      </c>
      <c r="H464" s="6">
        <v>0</v>
      </c>
      <c r="I464" s="11">
        <v>0</v>
      </c>
      <c r="J464">
        <v>1</v>
      </c>
    </row>
    <row r="465" spans="1:10" x14ac:dyDescent="0.45">
      <c r="A465" s="9">
        <v>516</v>
      </c>
      <c r="B465" s="6" t="s">
        <v>1821</v>
      </c>
      <c r="C465" s="12">
        <v>0.15</v>
      </c>
      <c r="D465" s="10">
        <v>0</v>
      </c>
      <c r="E465" s="10">
        <v>0</v>
      </c>
      <c r="F465" s="6">
        <v>0</v>
      </c>
      <c r="G465" s="6">
        <v>28</v>
      </c>
      <c r="H465" s="6">
        <v>0</v>
      </c>
      <c r="I465" s="11">
        <v>0</v>
      </c>
      <c r="J465">
        <v>1</v>
      </c>
    </row>
    <row r="466" spans="1:10" x14ac:dyDescent="0.45">
      <c r="A466" s="9">
        <v>517</v>
      </c>
      <c r="B466" s="6" t="s">
        <v>1822</v>
      </c>
      <c r="C466" s="12">
        <v>0</v>
      </c>
      <c r="D466" s="10">
        <v>1</v>
      </c>
      <c r="E466" s="10">
        <v>0</v>
      </c>
      <c r="F466" s="6">
        <v>0</v>
      </c>
      <c r="G466" s="6">
        <v>1</v>
      </c>
      <c r="H466" s="6">
        <v>0</v>
      </c>
      <c r="I466" s="11">
        <v>0</v>
      </c>
      <c r="J466">
        <v>1</v>
      </c>
    </row>
    <row r="467" spans="1:10" x14ac:dyDescent="0.45">
      <c r="A467" s="9">
        <v>518</v>
      </c>
      <c r="B467" s="6" t="s">
        <v>1823</v>
      </c>
      <c r="C467" s="12">
        <v>0</v>
      </c>
      <c r="D467" s="10">
        <v>1</v>
      </c>
      <c r="E467" s="10">
        <v>0</v>
      </c>
      <c r="F467" s="6">
        <v>0</v>
      </c>
      <c r="G467" s="6">
        <v>1</v>
      </c>
      <c r="H467" s="6">
        <v>0</v>
      </c>
      <c r="I467" s="11">
        <v>0</v>
      </c>
      <c r="J467">
        <v>1</v>
      </c>
    </row>
    <row r="468" spans="1:10" x14ac:dyDescent="0.45">
      <c r="A468" s="9">
        <v>519</v>
      </c>
      <c r="B468" s="6" t="s">
        <v>1824</v>
      </c>
      <c r="C468" s="12">
        <v>0</v>
      </c>
      <c r="D468" s="10">
        <v>1</v>
      </c>
      <c r="E468" s="10">
        <v>1</v>
      </c>
      <c r="F468" s="6">
        <v>0</v>
      </c>
      <c r="G468" s="6">
        <v>1</v>
      </c>
      <c r="H468" s="6">
        <v>0</v>
      </c>
      <c r="I468" s="11">
        <v>0</v>
      </c>
      <c r="J468">
        <v>1</v>
      </c>
    </row>
    <row r="469" spans="1:10" x14ac:dyDescent="0.45">
      <c r="A469" s="9">
        <v>520</v>
      </c>
      <c r="B469" s="6" t="s">
        <v>1825</v>
      </c>
      <c r="C469" s="12">
        <v>0.15</v>
      </c>
      <c r="D469" s="10">
        <v>0</v>
      </c>
      <c r="E469" s="10">
        <v>0</v>
      </c>
      <c r="F469" s="6">
        <v>0</v>
      </c>
      <c r="G469" s="6">
        <v>31</v>
      </c>
      <c r="H469" s="6">
        <v>0</v>
      </c>
      <c r="I469" s="11">
        <v>0</v>
      </c>
      <c r="J469">
        <v>1</v>
      </c>
    </row>
    <row r="470" spans="1:10" x14ac:dyDescent="0.45">
      <c r="A470" s="9">
        <v>521</v>
      </c>
      <c r="B470" s="6" t="s">
        <v>1826</v>
      </c>
      <c r="C470" s="12">
        <v>0.15</v>
      </c>
      <c r="D470" s="10">
        <v>0</v>
      </c>
      <c r="E470" s="10">
        <v>1</v>
      </c>
      <c r="F470" s="6">
        <v>0</v>
      </c>
      <c r="G470" s="6">
        <v>19</v>
      </c>
      <c r="H470" s="6">
        <v>0</v>
      </c>
      <c r="I470" s="11">
        <v>0.2</v>
      </c>
      <c r="J470">
        <v>1</v>
      </c>
    </row>
    <row r="471" spans="1:10" x14ac:dyDescent="0.45">
      <c r="A471" s="9">
        <v>522</v>
      </c>
      <c r="B471" s="6" t="s">
        <v>1827</v>
      </c>
      <c r="C471" s="12">
        <v>0</v>
      </c>
      <c r="D471" s="10">
        <v>1</v>
      </c>
      <c r="E471" s="10">
        <v>1</v>
      </c>
      <c r="F471" s="6">
        <v>0</v>
      </c>
      <c r="G471" s="6">
        <v>33</v>
      </c>
      <c r="H471" s="6">
        <v>0</v>
      </c>
      <c r="I471" s="11">
        <v>0.2</v>
      </c>
      <c r="J471">
        <v>1</v>
      </c>
    </row>
    <row r="472" spans="1:10" x14ac:dyDescent="0.45">
      <c r="A472" s="9">
        <v>523</v>
      </c>
      <c r="B472" s="6" t="s">
        <v>1828</v>
      </c>
      <c r="C472" s="12">
        <v>0.15</v>
      </c>
      <c r="D472" s="10">
        <v>0</v>
      </c>
      <c r="E472" s="10">
        <v>1</v>
      </c>
      <c r="F472" s="6">
        <v>0</v>
      </c>
      <c r="G472" s="6">
        <v>24</v>
      </c>
      <c r="H472" s="6">
        <v>0</v>
      </c>
      <c r="I472" s="11">
        <v>0.2</v>
      </c>
      <c r="J472">
        <v>1</v>
      </c>
    </row>
    <row r="473" spans="1:10" x14ac:dyDescent="0.45">
      <c r="A473" s="9">
        <v>524</v>
      </c>
      <c r="B473" s="6" t="s">
        <v>1829</v>
      </c>
      <c r="C473" s="12">
        <v>0</v>
      </c>
      <c r="D473" s="10">
        <v>1</v>
      </c>
      <c r="E473" s="10">
        <v>0</v>
      </c>
      <c r="F473" s="6">
        <v>0</v>
      </c>
      <c r="G473" s="6">
        <v>1</v>
      </c>
      <c r="H473" s="6">
        <v>0</v>
      </c>
      <c r="I473" s="11">
        <v>0</v>
      </c>
      <c r="J473">
        <v>1</v>
      </c>
    </row>
    <row r="474" spans="1:10" x14ac:dyDescent="0.45">
      <c r="A474" s="9">
        <v>525</v>
      </c>
      <c r="B474" s="6" t="s">
        <v>1830</v>
      </c>
      <c r="C474" s="12">
        <v>0</v>
      </c>
      <c r="D474" s="10">
        <v>1</v>
      </c>
      <c r="E474" s="10">
        <v>0</v>
      </c>
      <c r="F474" s="6">
        <v>0</v>
      </c>
      <c r="G474" s="6">
        <v>1</v>
      </c>
      <c r="H474" s="6">
        <v>0</v>
      </c>
      <c r="I474" s="11">
        <v>0</v>
      </c>
      <c r="J474">
        <v>1</v>
      </c>
    </row>
    <row r="475" spans="1:10" x14ac:dyDescent="0.45">
      <c r="A475" s="9">
        <v>526</v>
      </c>
      <c r="B475" s="6" t="s">
        <v>1831</v>
      </c>
      <c r="C475" s="12">
        <v>0</v>
      </c>
      <c r="D475" s="10">
        <v>1</v>
      </c>
      <c r="E475" s="10">
        <v>0</v>
      </c>
      <c r="F475" s="6">
        <v>0</v>
      </c>
      <c r="G475" s="6">
        <v>1</v>
      </c>
      <c r="H475" s="6">
        <v>0</v>
      </c>
      <c r="I475" s="11">
        <v>0</v>
      </c>
      <c r="J475">
        <v>1</v>
      </c>
    </row>
    <row r="476" spans="1:10" x14ac:dyDescent="0.45">
      <c r="A476" s="9">
        <v>527</v>
      </c>
      <c r="B476" s="6" t="s">
        <v>1832</v>
      </c>
      <c r="C476" s="12">
        <v>0.15</v>
      </c>
      <c r="D476" s="10">
        <v>0</v>
      </c>
      <c r="E476" s="10">
        <v>0</v>
      </c>
      <c r="F476" s="6">
        <v>0</v>
      </c>
      <c r="G476" s="6">
        <v>1</v>
      </c>
      <c r="H476" s="6">
        <v>0</v>
      </c>
      <c r="I476" s="11">
        <v>0.2</v>
      </c>
      <c r="J476">
        <v>1</v>
      </c>
    </row>
    <row r="477" spans="1:10" x14ac:dyDescent="0.45">
      <c r="A477" s="9">
        <v>528</v>
      </c>
      <c r="B477" s="6" t="s">
        <v>1833</v>
      </c>
      <c r="C477" s="12">
        <v>0</v>
      </c>
      <c r="D477" s="10">
        <v>1</v>
      </c>
      <c r="E477" s="10">
        <v>0</v>
      </c>
      <c r="F477" s="6">
        <v>0</v>
      </c>
      <c r="G477" s="6">
        <v>1</v>
      </c>
      <c r="H477" s="6">
        <v>0</v>
      </c>
      <c r="I477" s="11">
        <v>0</v>
      </c>
      <c r="J477">
        <v>1</v>
      </c>
    </row>
    <row r="478" spans="1:10" x14ac:dyDescent="0.45">
      <c r="A478" s="9">
        <v>529</v>
      </c>
      <c r="B478" s="6" t="s">
        <v>1834</v>
      </c>
      <c r="C478" s="12">
        <v>0.15</v>
      </c>
      <c r="D478" s="10">
        <v>0</v>
      </c>
      <c r="E478" s="10">
        <v>0</v>
      </c>
      <c r="F478" s="6">
        <v>0</v>
      </c>
      <c r="G478" s="6">
        <v>31</v>
      </c>
      <c r="H478" s="6">
        <v>0</v>
      </c>
      <c r="I478" s="11">
        <v>0</v>
      </c>
      <c r="J478">
        <v>1</v>
      </c>
    </row>
    <row r="479" spans="1:10" x14ac:dyDescent="0.45">
      <c r="A479" s="9">
        <v>530</v>
      </c>
      <c r="B479" s="6" t="s">
        <v>1835</v>
      </c>
      <c r="C479" s="12">
        <v>0.15</v>
      </c>
      <c r="D479" s="10">
        <v>0</v>
      </c>
      <c r="E479" s="10">
        <v>1</v>
      </c>
      <c r="F479" s="6">
        <v>0</v>
      </c>
      <c r="G479" s="6">
        <v>19</v>
      </c>
      <c r="H479" s="6">
        <v>0</v>
      </c>
      <c r="I479" s="11">
        <v>0.2</v>
      </c>
      <c r="J479">
        <v>1</v>
      </c>
    </row>
    <row r="480" spans="1:10" x14ac:dyDescent="0.45">
      <c r="A480" s="9">
        <v>531</v>
      </c>
      <c r="B480" s="6" t="s">
        <v>1836</v>
      </c>
      <c r="C480" s="12">
        <v>0.15</v>
      </c>
      <c r="D480" s="10">
        <v>0</v>
      </c>
      <c r="E480" s="10">
        <v>1</v>
      </c>
      <c r="F480" s="6">
        <v>0</v>
      </c>
      <c r="G480" s="6">
        <v>24</v>
      </c>
      <c r="H480" s="6">
        <v>0</v>
      </c>
      <c r="I480" s="11">
        <v>0.2</v>
      </c>
      <c r="J480">
        <v>1</v>
      </c>
    </row>
    <row r="481" spans="1:10" x14ac:dyDescent="0.45">
      <c r="A481" s="9">
        <v>532</v>
      </c>
      <c r="B481" s="6" t="s">
        <v>1837</v>
      </c>
      <c r="C481" s="12">
        <v>0.15</v>
      </c>
      <c r="D481" s="10">
        <v>0</v>
      </c>
      <c r="E481" s="10">
        <v>0</v>
      </c>
      <c r="F481" s="6">
        <v>0</v>
      </c>
      <c r="G481" s="6">
        <v>1</v>
      </c>
      <c r="H481" s="6">
        <v>0</v>
      </c>
      <c r="I481" s="11">
        <v>0</v>
      </c>
      <c r="J481">
        <v>1</v>
      </c>
    </row>
    <row r="482" spans="1:10" x14ac:dyDescent="0.45">
      <c r="A482" s="9">
        <v>533</v>
      </c>
      <c r="B482" s="6" t="s">
        <v>1838</v>
      </c>
      <c r="C482" s="12">
        <v>0.15</v>
      </c>
      <c r="D482" s="10">
        <v>0</v>
      </c>
      <c r="E482" s="10">
        <v>0</v>
      </c>
      <c r="F482" s="6">
        <v>0</v>
      </c>
      <c r="G482" s="6">
        <v>8</v>
      </c>
      <c r="H482" s="6">
        <v>0</v>
      </c>
      <c r="I482" s="11">
        <v>0.2</v>
      </c>
      <c r="J482">
        <v>1</v>
      </c>
    </row>
    <row r="483" spans="1:10" x14ac:dyDescent="0.45">
      <c r="A483" s="9">
        <v>534</v>
      </c>
      <c r="B483" s="6" t="s">
        <v>1839</v>
      </c>
      <c r="C483" s="12">
        <v>0.15</v>
      </c>
      <c r="D483" s="10">
        <v>0</v>
      </c>
      <c r="E483" s="10">
        <v>1</v>
      </c>
      <c r="F483" s="6">
        <v>0</v>
      </c>
      <c r="G483" s="6">
        <v>24</v>
      </c>
      <c r="H483" s="6">
        <v>0</v>
      </c>
      <c r="I483" s="11">
        <v>0.2</v>
      </c>
      <c r="J483">
        <v>1</v>
      </c>
    </row>
    <row r="484" spans="1:10" x14ac:dyDescent="0.45">
      <c r="A484" s="9">
        <v>535</v>
      </c>
      <c r="B484" s="6" t="s">
        <v>1840</v>
      </c>
      <c r="C484" s="12">
        <v>0.15</v>
      </c>
      <c r="D484" s="10">
        <v>0</v>
      </c>
      <c r="E484" s="10">
        <v>1</v>
      </c>
      <c r="F484" s="6">
        <v>0</v>
      </c>
      <c r="G484" s="6">
        <v>10</v>
      </c>
      <c r="H484" s="6">
        <v>0</v>
      </c>
      <c r="I484" s="11">
        <v>0.2</v>
      </c>
      <c r="J484">
        <v>1</v>
      </c>
    </row>
    <row r="485" spans="1:10" x14ac:dyDescent="0.45">
      <c r="A485" s="9">
        <v>536</v>
      </c>
      <c r="B485" s="6" t="s">
        <v>1841</v>
      </c>
      <c r="C485" s="12">
        <v>0.15</v>
      </c>
      <c r="D485" s="10">
        <v>0</v>
      </c>
      <c r="E485" s="10">
        <v>1</v>
      </c>
      <c r="F485" s="6">
        <v>0</v>
      </c>
      <c r="G485" s="6">
        <v>10</v>
      </c>
      <c r="H485" s="6">
        <v>0</v>
      </c>
      <c r="I485" s="11">
        <v>0.2</v>
      </c>
      <c r="J485">
        <v>1</v>
      </c>
    </row>
    <row r="486" spans="1:10" x14ac:dyDescent="0.45">
      <c r="A486" s="9">
        <v>537</v>
      </c>
      <c r="B486" s="6" t="s">
        <v>1842</v>
      </c>
      <c r="C486" s="12">
        <v>0.15</v>
      </c>
      <c r="D486" s="10">
        <v>0</v>
      </c>
      <c r="E486" s="10">
        <v>0</v>
      </c>
      <c r="F486" s="6">
        <v>0</v>
      </c>
      <c r="G486" s="6">
        <v>10</v>
      </c>
      <c r="H486" s="6">
        <v>0</v>
      </c>
      <c r="I486" s="11">
        <v>0.2</v>
      </c>
      <c r="J486">
        <v>1</v>
      </c>
    </row>
    <row r="487" spans="1:10" x14ac:dyDescent="0.45">
      <c r="A487" s="9">
        <v>538</v>
      </c>
      <c r="B487" s="6" t="s">
        <v>1843</v>
      </c>
      <c r="C487" s="12">
        <v>0.15</v>
      </c>
      <c r="D487" s="10">
        <v>0</v>
      </c>
      <c r="E487" s="10">
        <v>1</v>
      </c>
      <c r="F487" s="6">
        <v>0</v>
      </c>
      <c r="G487" s="6">
        <v>10</v>
      </c>
      <c r="H487" s="6">
        <v>0</v>
      </c>
      <c r="I487" s="11">
        <v>0.2</v>
      </c>
      <c r="J487">
        <v>1</v>
      </c>
    </row>
    <row r="488" spans="1:10" x14ac:dyDescent="0.45">
      <c r="A488" s="9">
        <v>539</v>
      </c>
      <c r="B488" s="6" t="s">
        <v>1844</v>
      </c>
      <c r="C488" s="12">
        <v>0.15</v>
      </c>
      <c r="D488" s="10">
        <v>0</v>
      </c>
      <c r="E488" s="10">
        <v>1</v>
      </c>
      <c r="F488" s="6">
        <v>0</v>
      </c>
      <c r="G488" s="6">
        <v>10</v>
      </c>
      <c r="H488" s="6">
        <v>0</v>
      </c>
      <c r="I488" s="11">
        <v>0.2</v>
      </c>
      <c r="J488">
        <v>1</v>
      </c>
    </row>
    <row r="489" spans="1:10" x14ac:dyDescent="0.45">
      <c r="A489" s="9">
        <v>540</v>
      </c>
      <c r="B489" s="6" t="s">
        <v>1845</v>
      </c>
      <c r="C489" s="12">
        <v>0.15</v>
      </c>
      <c r="D489" s="10">
        <v>0</v>
      </c>
      <c r="E489" s="10">
        <v>1</v>
      </c>
      <c r="F489" s="6">
        <v>0</v>
      </c>
      <c r="G489" s="6">
        <v>24</v>
      </c>
      <c r="H489" s="6">
        <v>0</v>
      </c>
      <c r="I489" s="11">
        <v>0.35</v>
      </c>
      <c r="J489">
        <v>1</v>
      </c>
    </row>
    <row r="490" spans="1:10" x14ac:dyDescent="0.45">
      <c r="A490" s="9">
        <v>541</v>
      </c>
      <c r="B490" s="6" t="s">
        <v>1065</v>
      </c>
      <c r="C490" s="12">
        <v>0.15</v>
      </c>
      <c r="D490" s="10">
        <v>0</v>
      </c>
      <c r="E490" s="10">
        <v>1</v>
      </c>
      <c r="F490" s="6">
        <v>0</v>
      </c>
      <c r="G490" s="6">
        <v>24</v>
      </c>
      <c r="H490" s="6">
        <v>0</v>
      </c>
      <c r="I490" s="11">
        <v>0.2</v>
      </c>
      <c r="J490">
        <v>1</v>
      </c>
    </row>
    <row r="491" spans="1:10" x14ac:dyDescent="0.45">
      <c r="A491" s="9">
        <v>542</v>
      </c>
      <c r="B491" s="6" t="s">
        <v>1846</v>
      </c>
      <c r="C491" s="12">
        <v>0</v>
      </c>
      <c r="D491" s="10">
        <v>1</v>
      </c>
      <c r="E491" s="10">
        <v>0</v>
      </c>
      <c r="F491" s="6">
        <v>0</v>
      </c>
      <c r="G491" s="6">
        <v>1</v>
      </c>
      <c r="H491" s="6">
        <v>0</v>
      </c>
      <c r="I491" s="11">
        <v>0</v>
      </c>
      <c r="J491">
        <v>1</v>
      </c>
    </row>
    <row r="492" spans="1:10" x14ac:dyDescent="0.45">
      <c r="A492" s="9">
        <v>543</v>
      </c>
      <c r="B492" s="6" t="s">
        <v>1847</v>
      </c>
      <c r="C492" s="12">
        <v>0.15</v>
      </c>
      <c r="D492" s="10">
        <v>0</v>
      </c>
      <c r="E492" s="10">
        <v>0</v>
      </c>
      <c r="F492" s="6">
        <v>0</v>
      </c>
      <c r="G492" s="6">
        <v>3</v>
      </c>
      <c r="H492" s="6">
        <v>0</v>
      </c>
      <c r="I492" s="11">
        <v>0</v>
      </c>
      <c r="J492">
        <v>1</v>
      </c>
    </row>
    <row r="493" spans="1:10" x14ac:dyDescent="0.45">
      <c r="A493" s="9">
        <v>544</v>
      </c>
      <c r="B493" s="6" t="s">
        <v>1848</v>
      </c>
      <c r="C493" s="12">
        <v>0</v>
      </c>
      <c r="D493" s="10">
        <v>1</v>
      </c>
      <c r="E493" s="10">
        <v>1</v>
      </c>
      <c r="F493" s="6">
        <v>0</v>
      </c>
      <c r="G493" s="6">
        <v>34</v>
      </c>
      <c r="H493" s="6">
        <v>0</v>
      </c>
      <c r="I493" s="11">
        <v>0.2</v>
      </c>
      <c r="J493">
        <v>1</v>
      </c>
    </row>
    <row r="494" spans="1:10" x14ac:dyDescent="0.45">
      <c r="A494" s="9">
        <v>545</v>
      </c>
      <c r="B494" s="6" t="s">
        <v>1849</v>
      </c>
      <c r="C494" s="12">
        <v>0</v>
      </c>
      <c r="D494" s="10">
        <v>1</v>
      </c>
      <c r="E494" s="10">
        <v>1</v>
      </c>
      <c r="F494" s="6">
        <v>0</v>
      </c>
      <c r="G494" s="6">
        <v>1</v>
      </c>
      <c r="H494" s="6">
        <v>0</v>
      </c>
      <c r="I494" s="11">
        <v>0</v>
      </c>
      <c r="J494">
        <v>1</v>
      </c>
    </row>
    <row r="495" spans="1:10" x14ac:dyDescent="0.45">
      <c r="A495" s="9">
        <v>546</v>
      </c>
      <c r="B495" s="6" t="s">
        <v>1850</v>
      </c>
      <c r="C495" s="12">
        <v>0.15</v>
      </c>
      <c r="D495" s="10">
        <v>0</v>
      </c>
      <c r="E495" s="10">
        <v>0</v>
      </c>
      <c r="F495" s="6">
        <v>0</v>
      </c>
      <c r="G495" s="6">
        <v>29</v>
      </c>
      <c r="H495" s="6">
        <v>0</v>
      </c>
      <c r="I495" s="11">
        <v>0</v>
      </c>
      <c r="J495">
        <v>1</v>
      </c>
    </row>
    <row r="496" spans="1:10" x14ac:dyDescent="0.45">
      <c r="A496" s="9">
        <v>547</v>
      </c>
      <c r="B496" s="6" t="s">
        <v>1851</v>
      </c>
      <c r="C496" s="12">
        <v>0.15</v>
      </c>
      <c r="D496" s="10">
        <v>0</v>
      </c>
      <c r="E496" s="10">
        <v>1</v>
      </c>
      <c r="F496" s="6">
        <v>0</v>
      </c>
      <c r="G496" s="6">
        <v>9</v>
      </c>
      <c r="H496" s="6">
        <v>0</v>
      </c>
      <c r="I496" s="11">
        <v>0.2</v>
      </c>
      <c r="J496">
        <v>1</v>
      </c>
    </row>
    <row r="497" spans="1:10" x14ac:dyDescent="0.45">
      <c r="A497" s="9">
        <v>548</v>
      </c>
      <c r="B497" s="6" t="s">
        <v>1852</v>
      </c>
      <c r="C497" s="12">
        <v>0.15</v>
      </c>
      <c r="D497" s="10">
        <v>0</v>
      </c>
      <c r="E497" s="10">
        <v>0</v>
      </c>
      <c r="F497" s="6">
        <v>0</v>
      </c>
      <c r="G497" s="6">
        <v>9</v>
      </c>
      <c r="H497" s="6">
        <v>0</v>
      </c>
      <c r="I497" s="11">
        <v>0.2</v>
      </c>
      <c r="J497">
        <v>1</v>
      </c>
    </row>
    <row r="498" spans="1:10" x14ac:dyDescent="0.45">
      <c r="A498" s="9">
        <v>549</v>
      </c>
      <c r="B498" s="6" t="s">
        <v>1853</v>
      </c>
      <c r="C498" s="12">
        <v>0.15</v>
      </c>
      <c r="D498" s="10">
        <v>0</v>
      </c>
      <c r="E498" s="10">
        <v>0</v>
      </c>
      <c r="F498" s="6">
        <v>0</v>
      </c>
      <c r="G498" s="6">
        <v>9</v>
      </c>
      <c r="H498" s="6">
        <v>0</v>
      </c>
      <c r="I498" s="11">
        <v>0.2</v>
      </c>
      <c r="J498">
        <v>1</v>
      </c>
    </row>
    <row r="499" spans="1:10" x14ac:dyDescent="0.45">
      <c r="A499" s="9">
        <v>550</v>
      </c>
      <c r="B499" s="6" t="s">
        <v>1854</v>
      </c>
      <c r="C499" s="12">
        <v>0.15</v>
      </c>
      <c r="D499" s="10">
        <v>0</v>
      </c>
      <c r="E499" s="10">
        <v>1</v>
      </c>
      <c r="F499" s="6">
        <v>0</v>
      </c>
      <c r="G499" s="6">
        <v>9</v>
      </c>
      <c r="H499" s="6">
        <v>0</v>
      </c>
      <c r="I499" s="11">
        <v>0.2</v>
      </c>
      <c r="J499">
        <v>1</v>
      </c>
    </row>
    <row r="500" spans="1:10" x14ac:dyDescent="0.45">
      <c r="A500" s="9">
        <v>551</v>
      </c>
      <c r="B500" s="6" t="s">
        <v>1855</v>
      </c>
      <c r="C500" s="12">
        <v>0.15</v>
      </c>
      <c r="D500" s="10">
        <v>0</v>
      </c>
      <c r="E500" s="10">
        <v>1</v>
      </c>
      <c r="F500" s="6">
        <v>0</v>
      </c>
      <c r="G500" s="6">
        <v>9</v>
      </c>
      <c r="H500" s="6">
        <v>0</v>
      </c>
      <c r="I500" s="11">
        <v>0.2</v>
      </c>
      <c r="J500">
        <v>1</v>
      </c>
    </row>
    <row r="501" spans="1:10" x14ac:dyDescent="0.45">
      <c r="A501" s="9">
        <v>552</v>
      </c>
      <c r="B501" s="6" t="s">
        <v>1856</v>
      </c>
      <c r="C501" s="12">
        <v>0.15</v>
      </c>
      <c r="D501" s="10">
        <v>0</v>
      </c>
      <c r="E501" s="10">
        <v>1</v>
      </c>
      <c r="F501" s="6">
        <v>0</v>
      </c>
      <c r="G501" s="6">
        <v>10</v>
      </c>
      <c r="H501" s="6">
        <v>0</v>
      </c>
      <c r="I501" s="11">
        <v>0.2</v>
      </c>
      <c r="J501">
        <v>1</v>
      </c>
    </row>
    <row r="502" spans="1:10" x14ac:dyDescent="0.45">
      <c r="A502" s="9">
        <v>553</v>
      </c>
      <c r="B502" s="6" t="s">
        <v>1857</v>
      </c>
      <c r="C502" s="12">
        <v>0.15</v>
      </c>
      <c r="D502" s="10">
        <v>0</v>
      </c>
      <c r="E502" s="10">
        <v>0</v>
      </c>
      <c r="F502" s="6">
        <v>0</v>
      </c>
      <c r="G502" s="6">
        <v>9</v>
      </c>
      <c r="H502" s="6">
        <v>0</v>
      </c>
      <c r="I502" s="11">
        <v>0.2</v>
      </c>
      <c r="J502">
        <v>1</v>
      </c>
    </row>
    <row r="503" spans="1:10" x14ac:dyDescent="0.45">
      <c r="A503" s="9">
        <v>554</v>
      </c>
      <c r="B503" s="6" t="s">
        <v>1858</v>
      </c>
      <c r="C503" s="12">
        <v>0.15</v>
      </c>
      <c r="D503" s="10">
        <v>0</v>
      </c>
      <c r="E503" s="10">
        <v>1</v>
      </c>
      <c r="F503" s="6">
        <v>0</v>
      </c>
      <c r="G503" s="6">
        <v>9</v>
      </c>
      <c r="H503" s="6">
        <v>0</v>
      </c>
      <c r="I503" s="11">
        <v>0.2</v>
      </c>
      <c r="J503">
        <v>1</v>
      </c>
    </row>
    <row r="504" spans="1:10" x14ac:dyDescent="0.45">
      <c r="A504" s="9">
        <v>555</v>
      </c>
      <c r="B504" s="6" t="s">
        <v>1859</v>
      </c>
      <c r="C504" s="12">
        <v>0.15</v>
      </c>
      <c r="D504" s="10">
        <v>0</v>
      </c>
      <c r="E504" s="10">
        <v>1</v>
      </c>
      <c r="F504" s="6">
        <v>0</v>
      </c>
      <c r="G504" s="6">
        <v>9</v>
      </c>
      <c r="H504" s="6">
        <v>0</v>
      </c>
      <c r="I504" s="11">
        <v>0.2</v>
      </c>
      <c r="J504">
        <v>1</v>
      </c>
    </row>
    <row r="505" spans="1:10" x14ac:dyDescent="0.45">
      <c r="A505" s="9">
        <v>556</v>
      </c>
      <c r="B505" s="6" t="s">
        <v>1860</v>
      </c>
      <c r="C505" s="12">
        <v>0.15</v>
      </c>
      <c r="D505" s="10">
        <v>0</v>
      </c>
      <c r="E505" s="10">
        <v>1</v>
      </c>
      <c r="F505" s="6">
        <v>0</v>
      </c>
      <c r="G505" s="6">
        <v>9</v>
      </c>
      <c r="H505" s="6">
        <v>0</v>
      </c>
      <c r="I505" s="11">
        <v>0.2</v>
      </c>
      <c r="J505">
        <v>1</v>
      </c>
    </row>
    <row r="506" spans="1:10" x14ac:dyDescent="0.45">
      <c r="A506" s="9">
        <v>557</v>
      </c>
      <c r="B506" s="6" t="s">
        <v>1861</v>
      </c>
      <c r="C506" s="12">
        <v>0.15</v>
      </c>
      <c r="D506" s="10">
        <v>0</v>
      </c>
      <c r="E506" s="10">
        <v>1</v>
      </c>
      <c r="F506" s="6">
        <v>0</v>
      </c>
      <c r="G506" s="6">
        <v>9</v>
      </c>
      <c r="H506" s="6">
        <v>0</v>
      </c>
      <c r="I506" s="11">
        <v>0.2</v>
      </c>
      <c r="J506">
        <v>1</v>
      </c>
    </row>
    <row r="507" spans="1:10" x14ac:dyDescent="0.45">
      <c r="A507" s="9">
        <v>558</v>
      </c>
      <c r="B507" s="6" t="s">
        <v>1862</v>
      </c>
      <c r="C507" s="12">
        <v>0.15</v>
      </c>
      <c r="D507" s="10">
        <v>0</v>
      </c>
      <c r="E507" s="10">
        <v>1</v>
      </c>
      <c r="F507" s="6">
        <v>0</v>
      </c>
      <c r="G507" s="6">
        <v>9</v>
      </c>
      <c r="H507" s="6">
        <v>0</v>
      </c>
      <c r="I507" s="11">
        <v>0.2</v>
      </c>
      <c r="J507">
        <v>1</v>
      </c>
    </row>
    <row r="508" spans="1:10" x14ac:dyDescent="0.45">
      <c r="A508" s="9">
        <v>559</v>
      </c>
      <c r="B508" s="9" t="s">
        <v>1863</v>
      </c>
      <c r="C508" s="12">
        <v>0.15</v>
      </c>
      <c r="D508" s="10">
        <v>0</v>
      </c>
      <c r="E508" s="10">
        <v>1</v>
      </c>
      <c r="F508" s="6">
        <v>0</v>
      </c>
      <c r="G508" s="6">
        <v>9</v>
      </c>
      <c r="H508" s="6">
        <v>0</v>
      </c>
      <c r="I508" s="11">
        <v>0.2</v>
      </c>
      <c r="J508">
        <v>1</v>
      </c>
    </row>
    <row r="509" spans="1:10" x14ac:dyDescent="0.45">
      <c r="A509" s="9">
        <v>560</v>
      </c>
      <c r="B509" s="9" t="s">
        <v>1864</v>
      </c>
      <c r="C509" s="12">
        <v>0.15</v>
      </c>
      <c r="D509" s="10">
        <v>0</v>
      </c>
      <c r="E509" s="10">
        <v>1</v>
      </c>
      <c r="F509" s="6">
        <v>0</v>
      </c>
      <c r="G509" s="6">
        <v>9</v>
      </c>
      <c r="H509" s="6">
        <v>0</v>
      </c>
      <c r="I509" s="11">
        <v>0.2</v>
      </c>
      <c r="J509">
        <v>1</v>
      </c>
    </row>
    <row r="510" spans="1:10" x14ac:dyDescent="0.45">
      <c r="A510" s="9">
        <v>561</v>
      </c>
      <c r="B510" s="9" t="s">
        <v>1865</v>
      </c>
      <c r="C510" s="12">
        <v>0.15</v>
      </c>
      <c r="D510" s="10">
        <v>0</v>
      </c>
      <c r="E510" s="10">
        <v>1</v>
      </c>
      <c r="F510" s="6">
        <v>0</v>
      </c>
      <c r="G510" s="6">
        <v>24</v>
      </c>
      <c r="H510" s="6">
        <v>0</v>
      </c>
      <c r="I510" s="11">
        <v>0.2</v>
      </c>
      <c r="J510">
        <v>1</v>
      </c>
    </row>
    <row r="511" spans="1:10" x14ac:dyDescent="0.45">
      <c r="A511" s="9">
        <v>562</v>
      </c>
      <c r="B511" s="9" t="s">
        <v>1866</v>
      </c>
      <c r="C511" s="12">
        <v>0.15</v>
      </c>
      <c r="D511" s="10">
        <v>0</v>
      </c>
      <c r="E511" s="10">
        <v>1</v>
      </c>
      <c r="F511" s="6">
        <v>0</v>
      </c>
      <c r="G511" s="6">
        <v>24</v>
      </c>
      <c r="H511" s="6">
        <v>0</v>
      </c>
      <c r="I511" s="11">
        <v>0.2</v>
      </c>
      <c r="J511">
        <v>1</v>
      </c>
    </row>
    <row r="512" spans="1:10" x14ac:dyDescent="0.45">
      <c r="A512" s="9">
        <v>563</v>
      </c>
      <c r="B512" s="9" t="s">
        <v>1867</v>
      </c>
      <c r="C512" s="12">
        <v>0.15</v>
      </c>
      <c r="D512" s="10">
        <v>0</v>
      </c>
      <c r="E512" s="10">
        <v>1</v>
      </c>
      <c r="F512" s="6">
        <v>0</v>
      </c>
      <c r="G512" s="6">
        <v>24</v>
      </c>
      <c r="H512" s="6">
        <v>0</v>
      </c>
      <c r="I512" s="11">
        <v>0.2</v>
      </c>
      <c r="J512">
        <v>1</v>
      </c>
    </row>
    <row r="513" spans="1:10" x14ac:dyDescent="0.45">
      <c r="A513" s="9">
        <v>564</v>
      </c>
      <c r="B513" s="9" t="s">
        <v>1868</v>
      </c>
      <c r="C513" s="12">
        <v>0.15</v>
      </c>
      <c r="D513" s="10">
        <v>0</v>
      </c>
      <c r="E513" s="10">
        <v>1</v>
      </c>
      <c r="F513" s="6">
        <v>0</v>
      </c>
      <c r="G513" s="6">
        <v>24</v>
      </c>
      <c r="H513" s="6">
        <v>0</v>
      </c>
      <c r="I513" s="11">
        <v>0.05</v>
      </c>
      <c r="J513">
        <v>1</v>
      </c>
    </row>
    <row r="514" spans="1:10" x14ac:dyDescent="0.45">
      <c r="A514" s="9">
        <v>565</v>
      </c>
      <c r="B514" s="9" t="s">
        <v>1869</v>
      </c>
      <c r="C514" s="12">
        <v>0</v>
      </c>
      <c r="D514" s="10">
        <v>1</v>
      </c>
      <c r="E514" s="10">
        <v>0</v>
      </c>
      <c r="F514" s="6">
        <v>0</v>
      </c>
      <c r="G514" s="6">
        <v>1</v>
      </c>
      <c r="H514" s="6">
        <v>0</v>
      </c>
      <c r="I514" s="11">
        <v>0</v>
      </c>
      <c r="J514">
        <v>1</v>
      </c>
    </row>
    <row r="515" spans="1:10" x14ac:dyDescent="0.45">
      <c r="A515" s="9">
        <v>566</v>
      </c>
      <c r="B515" s="9" t="s">
        <v>1870</v>
      </c>
      <c r="C515" s="12">
        <v>0</v>
      </c>
      <c r="D515" s="10">
        <v>1</v>
      </c>
      <c r="E515" s="10">
        <v>0</v>
      </c>
      <c r="F515" s="6">
        <v>0</v>
      </c>
      <c r="G515" s="6">
        <v>1</v>
      </c>
      <c r="H515" s="6">
        <v>0</v>
      </c>
      <c r="I515" s="11">
        <v>0</v>
      </c>
      <c r="J515">
        <v>1</v>
      </c>
    </row>
    <row r="516" spans="1:10" x14ac:dyDescent="0.45">
      <c r="A516" s="9">
        <v>567</v>
      </c>
      <c r="B516" s="9" t="s">
        <v>1871</v>
      </c>
      <c r="C516" s="12">
        <v>0.15</v>
      </c>
      <c r="D516" s="10">
        <v>0</v>
      </c>
      <c r="E516" s="10">
        <v>1</v>
      </c>
      <c r="F516" s="6">
        <v>0</v>
      </c>
      <c r="G516" s="6">
        <v>24</v>
      </c>
      <c r="H516" s="6">
        <v>0</v>
      </c>
      <c r="I516" s="11">
        <v>0.35</v>
      </c>
      <c r="J516">
        <v>1</v>
      </c>
    </row>
    <row r="517" spans="1:10" x14ac:dyDescent="0.45">
      <c r="A517" s="9">
        <v>568</v>
      </c>
      <c r="B517" s="9" t="s">
        <v>1872</v>
      </c>
      <c r="C517" s="12">
        <v>0</v>
      </c>
      <c r="D517" s="10">
        <v>1</v>
      </c>
      <c r="E517" s="10">
        <v>1</v>
      </c>
      <c r="F517" s="6">
        <v>0</v>
      </c>
      <c r="G517" s="6">
        <v>24</v>
      </c>
      <c r="H517" s="6">
        <v>0</v>
      </c>
      <c r="I517" s="11">
        <v>0.35</v>
      </c>
      <c r="J517">
        <v>1</v>
      </c>
    </row>
    <row r="518" spans="1:10" x14ac:dyDescent="0.45">
      <c r="A518" s="9">
        <v>569</v>
      </c>
      <c r="B518" s="9" t="s">
        <v>1873</v>
      </c>
      <c r="C518" s="12">
        <v>0.15</v>
      </c>
      <c r="D518" s="10">
        <v>0</v>
      </c>
      <c r="E518" s="10">
        <v>1</v>
      </c>
      <c r="F518" s="6">
        <v>0</v>
      </c>
      <c r="G518" s="6">
        <v>24</v>
      </c>
      <c r="H518" s="6">
        <v>0</v>
      </c>
      <c r="I518" s="11">
        <v>0.35</v>
      </c>
      <c r="J518">
        <v>1</v>
      </c>
    </row>
    <row r="519" spans="1:10" x14ac:dyDescent="0.45">
      <c r="A519" s="9">
        <v>570</v>
      </c>
      <c r="B519" s="9" t="s">
        <v>1874</v>
      </c>
      <c r="C519" s="12">
        <v>0.15</v>
      </c>
      <c r="D519" s="10">
        <v>0</v>
      </c>
      <c r="E519" s="10">
        <v>1</v>
      </c>
      <c r="F519" s="6">
        <v>0</v>
      </c>
      <c r="G519" s="6">
        <v>24</v>
      </c>
      <c r="H519" s="6">
        <v>0</v>
      </c>
      <c r="I519" s="11">
        <v>0.35</v>
      </c>
      <c r="J519">
        <v>1</v>
      </c>
    </row>
    <row r="520" spans="1:10" x14ac:dyDescent="0.45">
      <c r="A520" s="9">
        <v>571</v>
      </c>
      <c r="B520" s="9" t="s">
        <v>1875</v>
      </c>
      <c r="C520" s="12">
        <v>0</v>
      </c>
      <c r="D520" s="10">
        <v>1</v>
      </c>
      <c r="E520" s="10">
        <v>0</v>
      </c>
      <c r="F520" s="6">
        <v>0</v>
      </c>
      <c r="G520" s="6">
        <v>11</v>
      </c>
      <c r="H520" s="6">
        <v>0</v>
      </c>
      <c r="I520" s="11">
        <v>0</v>
      </c>
      <c r="J520">
        <v>1</v>
      </c>
    </row>
    <row r="521" spans="1:10" x14ac:dyDescent="0.45">
      <c r="A521" s="9">
        <v>572</v>
      </c>
      <c r="B521" s="9" t="s">
        <v>1876</v>
      </c>
      <c r="C521" s="12">
        <v>0.15</v>
      </c>
      <c r="D521" s="10">
        <v>0</v>
      </c>
      <c r="E521" s="10">
        <v>1</v>
      </c>
      <c r="F521" s="6">
        <v>0</v>
      </c>
      <c r="G521" s="6">
        <v>24</v>
      </c>
      <c r="H521" s="6">
        <v>0</v>
      </c>
      <c r="I521" s="11">
        <v>0.2</v>
      </c>
      <c r="J521">
        <v>1</v>
      </c>
    </row>
    <row r="522" spans="1:10" x14ac:dyDescent="0.45">
      <c r="A522" s="9">
        <v>573</v>
      </c>
      <c r="B522" s="9" t="s">
        <v>1877</v>
      </c>
      <c r="C522" s="12">
        <v>0.15</v>
      </c>
      <c r="D522" s="10">
        <v>0</v>
      </c>
      <c r="E522" s="10">
        <v>1</v>
      </c>
      <c r="F522" s="6">
        <v>0</v>
      </c>
      <c r="G522" s="6">
        <v>24</v>
      </c>
      <c r="H522" s="6">
        <v>0</v>
      </c>
      <c r="I522" s="11">
        <v>0.2</v>
      </c>
      <c r="J522">
        <v>1</v>
      </c>
    </row>
    <row r="523" spans="1:10" x14ac:dyDescent="0.45">
      <c r="A523" s="9">
        <v>574</v>
      </c>
      <c r="B523" s="9" t="s">
        <v>1878</v>
      </c>
      <c r="C523" s="12">
        <v>0.15</v>
      </c>
      <c r="D523" s="10">
        <v>0</v>
      </c>
      <c r="E523" s="10">
        <v>1</v>
      </c>
      <c r="F523" s="6">
        <v>0</v>
      </c>
      <c r="G523" s="6">
        <v>24</v>
      </c>
      <c r="H523" s="6">
        <v>0</v>
      </c>
      <c r="I523" s="11">
        <v>0.2</v>
      </c>
      <c r="J523">
        <v>1</v>
      </c>
    </row>
    <row r="524" spans="1:10" x14ac:dyDescent="0.45">
      <c r="A524" s="9">
        <v>575</v>
      </c>
      <c r="B524" s="9" t="s">
        <v>1879</v>
      </c>
      <c r="C524" s="12">
        <v>0.15</v>
      </c>
      <c r="D524" s="10">
        <v>0</v>
      </c>
      <c r="E524" s="10">
        <v>1</v>
      </c>
      <c r="F524" s="6">
        <v>0</v>
      </c>
      <c r="G524" s="6">
        <v>24</v>
      </c>
      <c r="H524" s="6">
        <v>0</v>
      </c>
      <c r="I524" s="11">
        <v>0.2</v>
      </c>
      <c r="J524">
        <v>1</v>
      </c>
    </row>
    <row r="525" spans="1:10" x14ac:dyDescent="0.45">
      <c r="A525" s="9">
        <v>576</v>
      </c>
      <c r="B525" s="9" t="s">
        <v>1880</v>
      </c>
      <c r="C525" s="12">
        <v>0.15</v>
      </c>
      <c r="D525" s="10">
        <v>0</v>
      </c>
      <c r="E525" s="10">
        <v>1</v>
      </c>
      <c r="F525" s="6">
        <v>0</v>
      </c>
      <c r="G525" s="6">
        <v>24</v>
      </c>
      <c r="H525" s="6">
        <v>0</v>
      </c>
      <c r="I525" s="11">
        <v>0.2</v>
      </c>
      <c r="J525">
        <v>1</v>
      </c>
    </row>
    <row r="526" spans="1:10" x14ac:dyDescent="0.45">
      <c r="A526" s="9">
        <v>577</v>
      </c>
      <c r="B526" s="9" t="s">
        <v>1881</v>
      </c>
      <c r="C526" s="12">
        <v>0.15</v>
      </c>
      <c r="D526" s="10">
        <v>0</v>
      </c>
      <c r="E526" s="10">
        <v>1</v>
      </c>
      <c r="F526" s="6">
        <v>0</v>
      </c>
      <c r="G526" s="6">
        <v>24</v>
      </c>
      <c r="H526" s="6">
        <v>0</v>
      </c>
      <c r="I526" s="11">
        <v>0.2</v>
      </c>
      <c r="J526">
        <v>1</v>
      </c>
    </row>
    <row r="527" spans="1:10" x14ac:dyDescent="0.45">
      <c r="A527" s="9">
        <v>578</v>
      </c>
      <c r="B527" s="9" t="s">
        <v>1882</v>
      </c>
      <c r="C527" s="12">
        <v>0.15</v>
      </c>
      <c r="D527" s="10">
        <v>0</v>
      </c>
      <c r="E527" s="10">
        <v>1</v>
      </c>
      <c r="F527" s="6">
        <v>0</v>
      </c>
      <c r="G527" s="6">
        <v>24</v>
      </c>
      <c r="H527" s="6">
        <v>0</v>
      </c>
      <c r="I527" s="11">
        <v>0.2</v>
      </c>
      <c r="J527">
        <v>1</v>
      </c>
    </row>
    <row r="528" spans="1:10" x14ac:dyDescent="0.45">
      <c r="A528" s="9">
        <v>579</v>
      </c>
      <c r="B528" s="9" t="s">
        <v>1883</v>
      </c>
      <c r="C528" s="12">
        <v>0.15</v>
      </c>
      <c r="D528" s="10">
        <v>0</v>
      </c>
      <c r="E528" s="10">
        <v>1</v>
      </c>
      <c r="F528" s="6">
        <v>0</v>
      </c>
      <c r="G528" s="6">
        <v>24</v>
      </c>
      <c r="H528" s="6">
        <v>0</v>
      </c>
      <c r="I528" s="11">
        <v>0.2</v>
      </c>
      <c r="J528">
        <v>1</v>
      </c>
    </row>
    <row r="529" spans="1:10" x14ac:dyDescent="0.45">
      <c r="A529" s="9">
        <v>580</v>
      </c>
      <c r="B529" s="9" t="s">
        <v>1884</v>
      </c>
      <c r="C529" s="12">
        <v>0.15</v>
      </c>
      <c r="D529" s="10">
        <v>0</v>
      </c>
      <c r="E529" s="10">
        <v>1</v>
      </c>
      <c r="F529" s="6">
        <v>0</v>
      </c>
      <c r="G529" s="6">
        <v>24</v>
      </c>
      <c r="H529" s="6">
        <v>0</v>
      </c>
      <c r="I529" s="11">
        <v>0.2</v>
      </c>
      <c r="J529">
        <v>1</v>
      </c>
    </row>
    <row r="530" spans="1:10" x14ac:dyDescent="0.45">
      <c r="A530" s="9">
        <v>581</v>
      </c>
      <c r="B530" s="9" t="s">
        <v>1885</v>
      </c>
      <c r="C530" s="12">
        <v>0.15</v>
      </c>
      <c r="D530" s="10">
        <v>0</v>
      </c>
      <c r="E530" s="10">
        <v>1</v>
      </c>
      <c r="F530" s="6">
        <v>0</v>
      </c>
      <c r="G530" s="6">
        <v>24</v>
      </c>
      <c r="H530" s="6">
        <v>0</v>
      </c>
      <c r="I530" s="11">
        <v>0.2</v>
      </c>
      <c r="J530">
        <v>1</v>
      </c>
    </row>
    <row r="531" spans="1:10" x14ac:dyDescent="0.45">
      <c r="A531" s="9">
        <v>582</v>
      </c>
      <c r="B531" s="9" t="s">
        <v>1886</v>
      </c>
      <c r="C531" s="12">
        <v>0.15</v>
      </c>
      <c r="D531" s="10">
        <v>0</v>
      </c>
      <c r="E531" s="10">
        <v>1</v>
      </c>
      <c r="F531" s="6">
        <v>0</v>
      </c>
      <c r="G531" s="6">
        <v>24</v>
      </c>
      <c r="H531" s="6">
        <v>0</v>
      </c>
      <c r="I531" s="11">
        <v>0.35</v>
      </c>
      <c r="J531">
        <v>1</v>
      </c>
    </row>
    <row r="532" spans="1:10" x14ac:dyDescent="0.45">
      <c r="A532" s="9">
        <v>583</v>
      </c>
      <c r="B532" s="9" t="s">
        <v>558</v>
      </c>
      <c r="C532" s="12">
        <v>0.15</v>
      </c>
      <c r="D532" s="10">
        <v>0</v>
      </c>
      <c r="E532" s="10">
        <v>1</v>
      </c>
      <c r="F532" s="6">
        <v>0</v>
      </c>
      <c r="G532" s="6">
        <v>24</v>
      </c>
      <c r="H532" s="6">
        <v>0</v>
      </c>
      <c r="I532" s="11">
        <v>0.35</v>
      </c>
      <c r="J532">
        <v>1</v>
      </c>
    </row>
    <row r="533" spans="1:10" x14ac:dyDescent="0.45">
      <c r="A533" s="9">
        <v>584</v>
      </c>
      <c r="B533" s="9" t="s">
        <v>1887</v>
      </c>
      <c r="C533" s="12">
        <v>0.15</v>
      </c>
      <c r="D533" s="10">
        <v>0</v>
      </c>
      <c r="E533" s="10">
        <v>1</v>
      </c>
      <c r="F533" s="6">
        <v>0</v>
      </c>
      <c r="G533" s="6">
        <v>24</v>
      </c>
      <c r="H533" s="6">
        <v>0</v>
      </c>
      <c r="I533" s="11">
        <v>0.2</v>
      </c>
      <c r="J533">
        <v>1</v>
      </c>
    </row>
    <row r="534" spans="1:10" x14ac:dyDescent="0.45">
      <c r="A534" s="9">
        <v>585</v>
      </c>
      <c r="B534" s="9" t="s">
        <v>1888</v>
      </c>
      <c r="C534" s="12">
        <v>0.15</v>
      </c>
      <c r="D534" s="10">
        <v>0</v>
      </c>
      <c r="E534" s="10">
        <v>0</v>
      </c>
      <c r="F534" s="6">
        <v>0</v>
      </c>
      <c r="G534" s="6">
        <v>24</v>
      </c>
      <c r="H534" s="6">
        <v>0</v>
      </c>
      <c r="I534" s="11">
        <v>0.2</v>
      </c>
      <c r="J534">
        <v>1</v>
      </c>
    </row>
    <row r="535" spans="1:10" x14ac:dyDescent="0.45">
      <c r="A535" s="9">
        <v>586</v>
      </c>
      <c r="B535" s="9" t="s">
        <v>1889</v>
      </c>
      <c r="C535" s="12">
        <v>0.15</v>
      </c>
      <c r="D535" s="10">
        <v>0</v>
      </c>
      <c r="E535" s="10">
        <v>1</v>
      </c>
      <c r="F535" s="6">
        <v>0</v>
      </c>
      <c r="G535" s="6">
        <v>24</v>
      </c>
      <c r="H535" s="6">
        <v>0</v>
      </c>
      <c r="I535" s="11">
        <v>0.35</v>
      </c>
      <c r="J535">
        <v>1</v>
      </c>
    </row>
    <row r="536" spans="1:10" x14ac:dyDescent="0.45">
      <c r="A536" s="9">
        <v>587</v>
      </c>
      <c r="B536" s="9" t="s">
        <v>1890</v>
      </c>
      <c r="C536" s="12">
        <v>0.15</v>
      </c>
      <c r="D536" s="10">
        <v>0</v>
      </c>
      <c r="E536" s="10">
        <v>1</v>
      </c>
      <c r="F536" s="6">
        <v>0</v>
      </c>
      <c r="G536" s="6">
        <v>24</v>
      </c>
      <c r="H536" s="6">
        <v>0</v>
      </c>
      <c r="I536" s="11">
        <v>0.35</v>
      </c>
      <c r="J536">
        <v>1</v>
      </c>
    </row>
    <row r="537" spans="1:10" x14ac:dyDescent="0.45">
      <c r="A537" s="9">
        <v>588</v>
      </c>
      <c r="B537" s="9" t="s">
        <v>1891</v>
      </c>
      <c r="C537" s="12">
        <v>0.15</v>
      </c>
      <c r="D537" s="10">
        <v>0</v>
      </c>
      <c r="E537" s="10">
        <v>0</v>
      </c>
      <c r="F537" s="6">
        <v>0</v>
      </c>
      <c r="G537" s="6">
        <v>28</v>
      </c>
      <c r="H537" s="6">
        <v>0</v>
      </c>
      <c r="I537" s="11">
        <v>0</v>
      </c>
      <c r="J537">
        <v>1</v>
      </c>
    </row>
    <row r="538" spans="1:10" x14ac:dyDescent="0.45">
      <c r="A538" s="9">
        <v>589</v>
      </c>
      <c r="B538" s="9" t="s">
        <v>1892</v>
      </c>
      <c r="C538" s="12">
        <v>0.15</v>
      </c>
      <c r="D538" s="10">
        <v>0</v>
      </c>
      <c r="E538" s="10">
        <v>0</v>
      </c>
      <c r="F538" s="6">
        <v>0</v>
      </c>
      <c r="G538" s="6">
        <v>28</v>
      </c>
      <c r="H538" s="6">
        <v>0</v>
      </c>
      <c r="I538" s="11">
        <v>0</v>
      </c>
      <c r="J538">
        <v>1</v>
      </c>
    </row>
    <row r="539" spans="1:10" x14ac:dyDescent="0.45">
      <c r="A539" s="9">
        <v>590</v>
      </c>
      <c r="B539" s="9" t="s">
        <v>1893</v>
      </c>
      <c r="C539" s="12">
        <v>0.15</v>
      </c>
      <c r="D539" s="10">
        <v>0</v>
      </c>
      <c r="E539" s="10">
        <v>1</v>
      </c>
      <c r="F539" s="6">
        <v>0</v>
      </c>
      <c r="G539" s="6">
        <v>10</v>
      </c>
      <c r="H539" s="6">
        <v>0</v>
      </c>
      <c r="I539" s="11">
        <v>0.2</v>
      </c>
      <c r="J539">
        <v>1</v>
      </c>
    </row>
    <row r="540" spans="1:10" x14ac:dyDescent="0.45">
      <c r="A540" s="9">
        <v>591</v>
      </c>
      <c r="B540" s="9" t="s">
        <v>1894</v>
      </c>
      <c r="C540" s="12">
        <v>0.15</v>
      </c>
      <c r="D540" s="10">
        <v>0</v>
      </c>
      <c r="E540" s="10">
        <v>0</v>
      </c>
      <c r="F540" s="6">
        <v>0</v>
      </c>
      <c r="G540" s="6">
        <v>31</v>
      </c>
      <c r="H540" s="6">
        <v>0</v>
      </c>
      <c r="I540" s="11">
        <v>0</v>
      </c>
      <c r="J540">
        <v>1</v>
      </c>
    </row>
    <row r="541" spans="1:10" x14ac:dyDescent="0.45">
      <c r="A541" s="9">
        <v>592</v>
      </c>
      <c r="B541" s="9" t="s">
        <v>1895</v>
      </c>
      <c r="C541" s="12">
        <v>0</v>
      </c>
      <c r="D541" s="10">
        <v>1</v>
      </c>
      <c r="E541" s="10">
        <v>0</v>
      </c>
      <c r="F541" s="6">
        <v>0</v>
      </c>
      <c r="G541" s="6">
        <v>33</v>
      </c>
      <c r="H541" s="6">
        <v>0</v>
      </c>
      <c r="I541" s="11">
        <v>0</v>
      </c>
      <c r="J541">
        <v>1</v>
      </c>
    </row>
    <row r="542" spans="1:10" x14ac:dyDescent="0.45">
      <c r="A542" s="9">
        <v>593</v>
      </c>
      <c r="B542" s="9" t="s">
        <v>1896</v>
      </c>
      <c r="C542" s="12">
        <v>0</v>
      </c>
      <c r="D542" s="10">
        <v>1</v>
      </c>
      <c r="E542" s="10">
        <v>1</v>
      </c>
      <c r="F542" s="6">
        <v>0</v>
      </c>
      <c r="G542" s="6">
        <v>24</v>
      </c>
      <c r="H542" s="6">
        <v>0</v>
      </c>
      <c r="I542" s="11">
        <v>0.05</v>
      </c>
      <c r="J542">
        <v>1</v>
      </c>
    </row>
    <row r="543" spans="1:10" x14ac:dyDescent="0.45">
      <c r="A543" s="9">
        <v>594</v>
      </c>
      <c r="B543" s="9" t="s">
        <v>1897</v>
      </c>
      <c r="C543" s="12">
        <v>0.15</v>
      </c>
      <c r="D543" s="10">
        <v>0</v>
      </c>
      <c r="E543" s="10">
        <v>0</v>
      </c>
      <c r="F543" s="6">
        <v>0</v>
      </c>
      <c r="G543" s="6">
        <v>24</v>
      </c>
      <c r="H543" s="6">
        <v>0</v>
      </c>
      <c r="I543" s="11">
        <v>0</v>
      </c>
      <c r="J543">
        <v>1</v>
      </c>
    </row>
    <row r="544" spans="1:10" x14ac:dyDescent="0.45">
      <c r="A544" s="9">
        <v>595</v>
      </c>
      <c r="B544" s="9" t="s">
        <v>1898</v>
      </c>
      <c r="C544" s="12">
        <v>0.15</v>
      </c>
      <c r="D544" s="10">
        <v>0</v>
      </c>
      <c r="E544" s="10">
        <v>1</v>
      </c>
      <c r="F544" s="6">
        <v>0</v>
      </c>
      <c r="G544" s="6">
        <v>7</v>
      </c>
      <c r="H544" s="6">
        <v>0</v>
      </c>
      <c r="I544" s="11">
        <v>0.2</v>
      </c>
      <c r="J544">
        <v>1</v>
      </c>
    </row>
    <row r="545" spans="1:10" x14ac:dyDescent="0.45">
      <c r="A545" s="9">
        <v>596</v>
      </c>
      <c r="B545" s="9" t="s">
        <v>1899</v>
      </c>
      <c r="C545" s="12">
        <v>0.15</v>
      </c>
      <c r="D545" s="10">
        <v>0</v>
      </c>
      <c r="E545" s="10">
        <v>1</v>
      </c>
      <c r="F545" s="6">
        <v>0</v>
      </c>
      <c r="G545" s="6">
        <v>23</v>
      </c>
      <c r="H545" s="6">
        <v>0</v>
      </c>
      <c r="I545" s="11">
        <v>0.1</v>
      </c>
      <c r="J545">
        <v>1</v>
      </c>
    </row>
    <row r="546" spans="1:10" x14ac:dyDescent="0.45">
      <c r="A546" s="9">
        <v>597</v>
      </c>
      <c r="B546" s="9" t="s">
        <v>1900</v>
      </c>
      <c r="C546" s="12">
        <v>0.15</v>
      </c>
      <c r="D546" s="10">
        <v>0</v>
      </c>
      <c r="E546" s="10">
        <v>1</v>
      </c>
      <c r="F546" s="6">
        <v>0</v>
      </c>
      <c r="G546" s="6">
        <v>23</v>
      </c>
      <c r="H546" s="6">
        <v>0</v>
      </c>
      <c r="I546" s="11">
        <v>0.1</v>
      </c>
      <c r="J546">
        <v>1</v>
      </c>
    </row>
    <row r="547" spans="1:10" x14ac:dyDescent="0.45">
      <c r="A547" s="9">
        <v>598</v>
      </c>
      <c r="B547" s="9" t="s">
        <v>1901</v>
      </c>
      <c r="C547" s="12">
        <v>0.15</v>
      </c>
      <c r="D547" s="10">
        <v>0</v>
      </c>
      <c r="E547" s="10">
        <v>1</v>
      </c>
      <c r="F547" s="6">
        <v>0</v>
      </c>
      <c r="G547" s="6">
        <v>23</v>
      </c>
      <c r="H547" s="6">
        <v>0</v>
      </c>
      <c r="I547" s="11">
        <v>0.1</v>
      </c>
      <c r="J547">
        <v>1</v>
      </c>
    </row>
    <row r="548" spans="1:10" x14ac:dyDescent="0.45">
      <c r="A548" s="9">
        <v>599</v>
      </c>
      <c r="B548" s="9" t="s">
        <v>1902</v>
      </c>
      <c r="C548" s="12">
        <v>0</v>
      </c>
      <c r="D548" s="10">
        <v>1</v>
      </c>
      <c r="E548" s="10">
        <v>0</v>
      </c>
      <c r="F548" s="6">
        <v>0</v>
      </c>
      <c r="G548" s="6">
        <v>1</v>
      </c>
      <c r="H548" s="6">
        <v>0</v>
      </c>
      <c r="I548" s="11">
        <v>0</v>
      </c>
      <c r="J548">
        <v>1</v>
      </c>
    </row>
    <row r="549" spans="1:10" x14ac:dyDescent="0.45">
      <c r="A549" s="9">
        <v>600</v>
      </c>
      <c r="B549" s="9" t="s">
        <v>1903</v>
      </c>
      <c r="C549" s="12">
        <v>0</v>
      </c>
      <c r="D549" s="10">
        <v>1</v>
      </c>
      <c r="E549" s="10">
        <v>0</v>
      </c>
      <c r="F549" s="6">
        <v>0</v>
      </c>
      <c r="G549" s="6">
        <v>1</v>
      </c>
      <c r="H549" s="6">
        <v>0</v>
      </c>
      <c r="I549" s="11">
        <v>0</v>
      </c>
      <c r="J549">
        <v>1</v>
      </c>
    </row>
    <row r="550" spans="1:10" x14ac:dyDescent="0.45">
      <c r="A550" s="9">
        <v>601</v>
      </c>
      <c r="B550" s="9" t="s">
        <v>1904</v>
      </c>
      <c r="C550" s="12">
        <v>0.15</v>
      </c>
      <c r="D550" s="10">
        <v>0</v>
      </c>
      <c r="E550" s="10">
        <v>1</v>
      </c>
      <c r="F550" s="6">
        <v>0</v>
      </c>
      <c r="G550" s="6">
        <v>1</v>
      </c>
      <c r="H550" s="6">
        <v>0</v>
      </c>
      <c r="I550" s="11">
        <v>0.2</v>
      </c>
      <c r="J550">
        <v>1</v>
      </c>
    </row>
    <row r="551" spans="1:10" x14ac:dyDescent="0.45">
      <c r="A551" s="9">
        <v>602</v>
      </c>
      <c r="B551" s="9" t="s">
        <v>1905</v>
      </c>
      <c r="C551" s="12">
        <v>0.15</v>
      </c>
      <c r="D551" s="10">
        <v>0</v>
      </c>
      <c r="E551" s="10">
        <v>0</v>
      </c>
      <c r="F551" s="6">
        <v>0</v>
      </c>
      <c r="G551" s="6">
        <v>7</v>
      </c>
      <c r="H551" s="6">
        <v>0</v>
      </c>
      <c r="I551" s="11">
        <v>0</v>
      </c>
      <c r="J551">
        <v>1</v>
      </c>
    </row>
    <row r="552" spans="1:10" x14ac:dyDescent="0.45">
      <c r="A552" s="9">
        <v>603</v>
      </c>
      <c r="B552" s="9" t="s">
        <v>1906</v>
      </c>
      <c r="C552" s="12">
        <v>0</v>
      </c>
      <c r="D552" s="10">
        <v>1</v>
      </c>
      <c r="E552" s="10">
        <v>0</v>
      </c>
      <c r="F552" s="6">
        <v>0</v>
      </c>
      <c r="G552" s="6">
        <v>1</v>
      </c>
      <c r="H552" s="6">
        <v>0</v>
      </c>
      <c r="I552" s="11">
        <v>0</v>
      </c>
      <c r="J552">
        <v>1</v>
      </c>
    </row>
    <row r="553" spans="1:10" x14ac:dyDescent="0.45">
      <c r="A553" s="9">
        <v>604</v>
      </c>
      <c r="B553" s="9" t="s">
        <v>1907</v>
      </c>
      <c r="C553" s="12">
        <v>0</v>
      </c>
      <c r="D553" s="10">
        <v>1</v>
      </c>
      <c r="E553" s="10">
        <v>0</v>
      </c>
      <c r="F553" s="6">
        <v>0</v>
      </c>
      <c r="G553" s="6">
        <v>1</v>
      </c>
      <c r="H553" s="6">
        <v>0</v>
      </c>
      <c r="I553" s="11">
        <v>0</v>
      </c>
      <c r="J553">
        <v>1</v>
      </c>
    </row>
    <row r="554" spans="1:10" x14ac:dyDescent="0.45">
      <c r="A554" s="9">
        <v>605</v>
      </c>
      <c r="B554" s="9" t="s">
        <v>1908</v>
      </c>
      <c r="C554" s="12">
        <v>0.15</v>
      </c>
      <c r="D554" s="10">
        <v>0</v>
      </c>
      <c r="E554" s="10">
        <v>0</v>
      </c>
      <c r="F554" s="6">
        <v>0</v>
      </c>
      <c r="G554" s="6">
        <v>7</v>
      </c>
      <c r="H554" s="6">
        <v>0</v>
      </c>
      <c r="I554" s="11">
        <v>0.2</v>
      </c>
      <c r="J554">
        <v>1</v>
      </c>
    </row>
    <row r="555" spans="1:10" x14ac:dyDescent="0.45">
      <c r="A555" s="9">
        <v>606</v>
      </c>
      <c r="B555" s="9" t="s">
        <v>1909</v>
      </c>
      <c r="C555" s="12">
        <v>0</v>
      </c>
      <c r="D555" s="10">
        <v>1</v>
      </c>
      <c r="E555" s="10">
        <v>0</v>
      </c>
      <c r="F555" s="6">
        <v>0</v>
      </c>
      <c r="G555" s="6">
        <v>24</v>
      </c>
      <c r="H555" s="6">
        <v>0</v>
      </c>
      <c r="I555" s="11">
        <v>0</v>
      </c>
      <c r="J555">
        <v>1</v>
      </c>
    </row>
    <row r="556" spans="1:10" x14ac:dyDescent="0.45">
      <c r="A556" s="9">
        <v>607</v>
      </c>
      <c r="B556" s="9" t="s">
        <v>1910</v>
      </c>
      <c r="C556" s="12">
        <v>0.15</v>
      </c>
      <c r="D556" s="10">
        <v>0</v>
      </c>
      <c r="E556" s="10">
        <v>0</v>
      </c>
      <c r="F556" s="6">
        <v>0</v>
      </c>
      <c r="G556" s="6">
        <v>24</v>
      </c>
      <c r="H556" s="6">
        <v>0</v>
      </c>
      <c r="I556" s="11">
        <v>0</v>
      </c>
      <c r="J556">
        <v>1</v>
      </c>
    </row>
    <row r="557" spans="1:10" x14ac:dyDescent="0.45">
      <c r="A557" s="9">
        <v>608</v>
      </c>
      <c r="B557" s="9" t="s">
        <v>1911</v>
      </c>
      <c r="C557" s="12">
        <v>0.15</v>
      </c>
      <c r="D557" s="10">
        <v>0</v>
      </c>
      <c r="E557" s="10">
        <v>0</v>
      </c>
      <c r="F557" s="6">
        <v>0</v>
      </c>
      <c r="G557" s="6">
        <v>24</v>
      </c>
      <c r="H557" s="6">
        <v>0</v>
      </c>
      <c r="I557" s="11">
        <v>0</v>
      </c>
      <c r="J557">
        <v>1</v>
      </c>
    </row>
    <row r="558" spans="1:10" x14ac:dyDescent="0.45">
      <c r="A558" s="9">
        <v>609</v>
      </c>
      <c r="B558" s="9" t="s">
        <v>1912</v>
      </c>
      <c r="C558" s="12">
        <v>0.15</v>
      </c>
      <c r="D558" s="10">
        <v>0</v>
      </c>
      <c r="E558" s="10">
        <v>0</v>
      </c>
      <c r="F558" s="6">
        <v>0</v>
      </c>
      <c r="G558" s="6">
        <v>24</v>
      </c>
      <c r="H558" s="6">
        <v>0</v>
      </c>
      <c r="I558" s="11">
        <v>0</v>
      </c>
      <c r="J558">
        <v>1</v>
      </c>
    </row>
    <row r="559" spans="1:10" x14ac:dyDescent="0.45">
      <c r="A559" s="9">
        <v>610</v>
      </c>
      <c r="B559" s="9" t="s">
        <v>1913</v>
      </c>
      <c r="C559" s="12">
        <v>0.15</v>
      </c>
      <c r="D559" s="10">
        <v>0</v>
      </c>
      <c r="E559" s="10">
        <v>1</v>
      </c>
      <c r="F559" s="6">
        <v>0</v>
      </c>
      <c r="G559" s="6">
        <v>24</v>
      </c>
      <c r="H559" s="6">
        <v>0</v>
      </c>
      <c r="I559" s="11">
        <v>0.2</v>
      </c>
      <c r="J559">
        <v>1</v>
      </c>
    </row>
    <row r="560" spans="1:10" x14ac:dyDescent="0.45">
      <c r="A560" s="9">
        <v>611</v>
      </c>
      <c r="B560" s="9" t="s">
        <v>1914</v>
      </c>
      <c r="C560" s="12">
        <v>0.15</v>
      </c>
      <c r="D560" s="10">
        <v>0</v>
      </c>
      <c r="E560" s="10">
        <v>0</v>
      </c>
      <c r="F560" s="6">
        <v>0</v>
      </c>
      <c r="G560" s="6">
        <v>24</v>
      </c>
      <c r="H560" s="6">
        <v>0</v>
      </c>
      <c r="I560" s="11">
        <v>0</v>
      </c>
      <c r="J560">
        <v>1</v>
      </c>
    </row>
    <row r="561" spans="1:10" x14ac:dyDescent="0.45">
      <c r="A561" s="9">
        <v>612</v>
      </c>
      <c r="B561" s="9" t="s">
        <v>1915</v>
      </c>
      <c r="C561" s="12">
        <v>0.15</v>
      </c>
      <c r="D561" s="10">
        <v>0</v>
      </c>
      <c r="E561" s="10">
        <v>1</v>
      </c>
      <c r="F561" s="6">
        <v>0</v>
      </c>
      <c r="G561" s="6">
        <v>24</v>
      </c>
      <c r="H561" s="6">
        <v>0</v>
      </c>
      <c r="I561" s="11">
        <v>0.2</v>
      </c>
      <c r="J561">
        <v>1</v>
      </c>
    </row>
    <row r="562" spans="1:10" x14ac:dyDescent="0.45">
      <c r="A562" s="9">
        <v>613</v>
      </c>
      <c r="B562" s="9" t="s">
        <v>1916</v>
      </c>
      <c r="C562" s="12">
        <v>0.15</v>
      </c>
      <c r="D562" s="10">
        <v>0</v>
      </c>
      <c r="E562" s="10">
        <v>0</v>
      </c>
      <c r="F562" s="6">
        <v>0</v>
      </c>
      <c r="G562" s="6">
        <v>24</v>
      </c>
      <c r="H562" s="6">
        <v>0</v>
      </c>
      <c r="I562" s="11">
        <v>0</v>
      </c>
      <c r="J562">
        <v>1</v>
      </c>
    </row>
    <row r="563" spans="1:10" x14ac:dyDescent="0.45">
      <c r="A563" s="9">
        <v>614</v>
      </c>
      <c r="B563" s="9" t="s">
        <v>1917</v>
      </c>
      <c r="C563" s="12">
        <v>0.15</v>
      </c>
      <c r="D563" s="10">
        <v>0</v>
      </c>
      <c r="E563" s="10">
        <v>0</v>
      </c>
      <c r="F563" s="6">
        <v>0</v>
      </c>
      <c r="G563" s="6">
        <v>24</v>
      </c>
      <c r="H563" s="6">
        <v>0</v>
      </c>
      <c r="I563" s="11">
        <v>0</v>
      </c>
      <c r="J563">
        <v>1</v>
      </c>
    </row>
    <row r="564" spans="1:10" x14ac:dyDescent="0.45">
      <c r="A564" s="9">
        <v>615</v>
      </c>
      <c r="B564" s="9" t="s">
        <v>1918</v>
      </c>
      <c r="C564" s="12">
        <v>0.15</v>
      </c>
      <c r="D564" s="10">
        <v>0</v>
      </c>
      <c r="E564" s="10">
        <v>1</v>
      </c>
      <c r="F564" s="6">
        <v>0</v>
      </c>
      <c r="G564" s="6">
        <v>24</v>
      </c>
      <c r="H564" s="6">
        <v>0</v>
      </c>
      <c r="I564" s="11">
        <v>0.2</v>
      </c>
      <c r="J564">
        <v>1</v>
      </c>
    </row>
    <row r="565" spans="1:10" x14ac:dyDescent="0.45">
      <c r="A565" s="9">
        <v>616</v>
      </c>
      <c r="B565" s="9" t="s">
        <v>1919</v>
      </c>
      <c r="C565" s="12">
        <v>0.15</v>
      </c>
      <c r="D565" s="10">
        <v>0</v>
      </c>
      <c r="E565" s="10">
        <v>0</v>
      </c>
      <c r="F565" s="6">
        <v>0</v>
      </c>
      <c r="G565" s="6">
        <v>24</v>
      </c>
      <c r="H565" s="6">
        <v>0</v>
      </c>
      <c r="I565" s="11">
        <v>0.2</v>
      </c>
      <c r="J565">
        <v>1</v>
      </c>
    </row>
    <row r="566" spans="1:10" x14ac:dyDescent="0.45">
      <c r="A566" s="9">
        <v>617</v>
      </c>
      <c r="B566" s="9" t="s">
        <v>1920</v>
      </c>
      <c r="C566" s="12">
        <v>0.15</v>
      </c>
      <c r="D566" s="10">
        <v>0</v>
      </c>
      <c r="E566" s="10">
        <v>0</v>
      </c>
      <c r="F566" s="6">
        <v>0</v>
      </c>
      <c r="G566" s="6">
        <v>24</v>
      </c>
      <c r="H566" s="6">
        <v>0</v>
      </c>
      <c r="I566" s="11">
        <v>0</v>
      </c>
      <c r="J566">
        <v>1</v>
      </c>
    </row>
    <row r="567" spans="1:10" x14ac:dyDescent="0.45">
      <c r="A567" s="9">
        <v>618</v>
      </c>
      <c r="B567" s="9" t="s">
        <v>1921</v>
      </c>
      <c r="C567" s="12">
        <v>0.15</v>
      </c>
      <c r="D567" s="10">
        <v>0</v>
      </c>
      <c r="E567" s="10">
        <v>1</v>
      </c>
      <c r="F567" s="6">
        <v>0</v>
      </c>
      <c r="G567" s="6">
        <v>24</v>
      </c>
      <c r="H567" s="6">
        <v>0</v>
      </c>
      <c r="I567" s="11">
        <v>0.2</v>
      </c>
      <c r="J567">
        <v>1</v>
      </c>
    </row>
    <row r="568" spans="1:10" x14ac:dyDescent="0.45">
      <c r="A568" s="9">
        <v>619</v>
      </c>
      <c r="B568" s="9" t="s">
        <v>1922</v>
      </c>
      <c r="C568" s="12">
        <v>0</v>
      </c>
      <c r="D568" s="10">
        <v>1</v>
      </c>
      <c r="E568" s="10">
        <v>0</v>
      </c>
      <c r="F568" s="6">
        <v>0</v>
      </c>
      <c r="G568" s="6">
        <v>24</v>
      </c>
      <c r="H568" s="6">
        <v>0</v>
      </c>
      <c r="I568" s="11">
        <v>0</v>
      </c>
      <c r="J568">
        <v>1</v>
      </c>
    </row>
    <row r="569" spans="1:10" x14ac:dyDescent="0.45">
      <c r="A569" s="9">
        <v>620</v>
      </c>
      <c r="B569" s="9" t="s">
        <v>1923</v>
      </c>
      <c r="C569" s="12">
        <v>0</v>
      </c>
      <c r="D569" s="10">
        <v>1</v>
      </c>
      <c r="E569" s="10">
        <v>0</v>
      </c>
      <c r="F569" s="6">
        <v>0</v>
      </c>
      <c r="G569" s="6">
        <v>24</v>
      </c>
      <c r="H569" s="6">
        <v>0</v>
      </c>
      <c r="I569" s="11">
        <v>0.2</v>
      </c>
      <c r="J569">
        <v>1</v>
      </c>
    </row>
    <row r="570" spans="1:10" x14ac:dyDescent="0.45">
      <c r="A570" s="9">
        <v>621</v>
      </c>
      <c r="B570" s="9" t="s">
        <v>1924</v>
      </c>
      <c r="C570" s="12">
        <v>0.15</v>
      </c>
      <c r="D570" s="10">
        <v>0</v>
      </c>
      <c r="E570" s="10">
        <v>1</v>
      </c>
      <c r="F570" s="6">
        <v>0</v>
      </c>
      <c r="G570" s="6">
        <v>24</v>
      </c>
      <c r="H570" s="6">
        <v>0</v>
      </c>
      <c r="I570" s="11">
        <v>0.2</v>
      </c>
      <c r="J570">
        <v>1</v>
      </c>
    </row>
    <row r="571" spans="1:10" x14ac:dyDescent="0.45">
      <c r="A571" s="9">
        <v>622</v>
      </c>
      <c r="B571" s="9" t="s">
        <v>1925</v>
      </c>
      <c r="C571" s="12">
        <v>0.15</v>
      </c>
      <c r="D571" s="10">
        <v>0</v>
      </c>
      <c r="E571" s="10">
        <v>0</v>
      </c>
      <c r="F571" s="6">
        <v>0</v>
      </c>
      <c r="G571" s="6">
        <v>24</v>
      </c>
      <c r="H571" s="6">
        <v>0</v>
      </c>
      <c r="I571" s="11">
        <v>0</v>
      </c>
      <c r="J571">
        <v>1</v>
      </c>
    </row>
    <row r="572" spans="1:10" x14ac:dyDescent="0.45">
      <c r="A572" s="9">
        <v>623</v>
      </c>
      <c r="B572" s="9" t="s">
        <v>1926</v>
      </c>
      <c r="C572" s="12">
        <v>0.15</v>
      </c>
      <c r="D572" s="10">
        <v>0</v>
      </c>
      <c r="E572" s="10">
        <v>0</v>
      </c>
      <c r="F572" s="6">
        <v>0</v>
      </c>
      <c r="G572" s="6">
        <v>24</v>
      </c>
      <c r="H572" s="6">
        <v>0</v>
      </c>
      <c r="I572" s="11">
        <v>0</v>
      </c>
      <c r="J572">
        <v>1</v>
      </c>
    </row>
    <row r="573" spans="1:10" x14ac:dyDescent="0.45">
      <c r="A573" s="9">
        <v>624</v>
      </c>
      <c r="B573" s="9" t="s">
        <v>1927</v>
      </c>
      <c r="C573" s="12">
        <v>0</v>
      </c>
      <c r="D573" s="10">
        <v>1</v>
      </c>
      <c r="E573" s="10">
        <v>1</v>
      </c>
      <c r="F573" s="6">
        <v>0</v>
      </c>
      <c r="G573" s="6">
        <v>24</v>
      </c>
      <c r="H573" s="6">
        <v>0</v>
      </c>
      <c r="I573" s="11">
        <v>0.2</v>
      </c>
      <c r="J573">
        <v>1</v>
      </c>
    </row>
    <row r="574" spans="1:10" x14ac:dyDescent="0.45">
      <c r="A574" s="9">
        <v>625</v>
      </c>
      <c r="B574" s="9" t="s">
        <v>1928</v>
      </c>
      <c r="C574" s="12">
        <v>0.15</v>
      </c>
      <c r="D574" s="10">
        <v>0</v>
      </c>
      <c r="E574" s="10">
        <v>1</v>
      </c>
      <c r="F574" s="6">
        <v>0</v>
      </c>
      <c r="G574" s="6">
        <v>24</v>
      </c>
      <c r="H574" s="6">
        <v>0</v>
      </c>
      <c r="I574" s="11">
        <v>0.2</v>
      </c>
      <c r="J574">
        <v>1</v>
      </c>
    </row>
    <row r="575" spans="1:10" x14ac:dyDescent="0.45">
      <c r="A575" s="9">
        <v>626</v>
      </c>
      <c r="B575" s="9" t="s">
        <v>1929</v>
      </c>
      <c r="C575" s="12">
        <v>0.15</v>
      </c>
      <c r="D575" s="10">
        <v>0</v>
      </c>
      <c r="E575" s="10">
        <v>1</v>
      </c>
      <c r="F575" s="6">
        <v>0</v>
      </c>
      <c r="G575" s="6">
        <v>24</v>
      </c>
      <c r="H575" s="6">
        <v>0</v>
      </c>
      <c r="I575" s="11">
        <v>0.35</v>
      </c>
      <c r="J575">
        <v>1</v>
      </c>
    </row>
    <row r="576" spans="1:10" x14ac:dyDescent="0.45">
      <c r="A576" s="9">
        <v>627</v>
      </c>
      <c r="B576" s="9" t="s">
        <v>1930</v>
      </c>
      <c r="C576" s="12">
        <v>0.15</v>
      </c>
      <c r="D576" s="10">
        <v>0</v>
      </c>
      <c r="E576" s="10">
        <v>1</v>
      </c>
      <c r="F576" s="6">
        <v>0</v>
      </c>
      <c r="G576" s="6">
        <v>24</v>
      </c>
      <c r="H576" s="6">
        <v>0</v>
      </c>
      <c r="I576" s="11">
        <v>0</v>
      </c>
      <c r="J576">
        <v>1</v>
      </c>
    </row>
    <row r="577" spans="1:10" x14ac:dyDescent="0.45">
      <c r="A577" s="9">
        <v>628</v>
      </c>
      <c r="B577" s="9" t="s">
        <v>1931</v>
      </c>
      <c r="C577" s="12">
        <v>0</v>
      </c>
      <c r="D577" s="10">
        <v>1</v>
      </c>
      <c r="E577" s="10">
        <v>1</v>
      </c>
      <c r="F577" s="6">
        <v>0</v>
      </c>
      <c r="G577" s="6">
        <v>27</v>
      </c>
      <c r="H577" s="6">
        <v>0</v>
      </c>
      <c r="I577" s="11">
        <v>0</v>
      </c>
      <c r="J577">
        <v>1</v>
      </c>
    </row>
    <row r="578" spans="1:10" x14ac:dyDescent="0.45">
      <c r="A578" s="9">
        <v>629</v>
      </c>
      <c r="B578" s="9" t="s">
        <v>1932</v>
      </c>
      <c r="C578" s="12">
        <v>0</v>
      </c>
      <c r="D578" s="10">
        <v>1</v>
      </c>
      <c r="E578" s="10">
        <v>1</v>
      </c>
      <c r="F578" s="6">
        <v>0</v>
      </c>
      <c r="G578" s="6">
        <v>27</v>
      </c>
      <c r="H578" s="6">
        <v>0</v>
      </c>
      <c r="I578" s="11">
        <v>0.05</v>
      </c>
      <c r="J578">
        <v>1</v>
      </c>
    </row>
    <row r="579" spans="1:10" x14ac:dyDescent="0.45">
      <c r="A579" s="9">
        <v>630</v>
      </c>
      <c r="B579" s="9" t="s">
        <v>1933</v>
      </c>
      <c r="C579" s="12">
        <v>0</v>
      </c>
      <c r="D579" s="10">
        <v>1</v>
      </c>
      <c r="E579" s="10">
        <v>0</v>
      </c>
      <c r="F579" s="6">
        <v>0</v>
      </c>
      <c r="G579" s="6">
        <v>1</v>
      </c>
      <c r="H579" s="6">
        <v>0</v>
      </c>
      <c r="I579" s="11">
        <v>0.2</v>
      </c>
      <c r="J579">
        <v>1</v>
      </c>
    </row>
    <row r="580" spans="1:10" x14ac:dyDescent="0.45">
      <c r="A580" s="9">
        <v>631</v>
      </c>
      <c r="B580" s="9" t="s">
        <v>1934</v>
      </c>
      <c r="C580" s="12">
        <v>0.15</v>
      </c>
      <c r="D580" s="10">
        <v>0</v>
      </c>
      <c r="E580" s="10">
        <v>0</v>
      </c>
      <c r="F580" s="6">
        <v>0</v>
      </c>
      <c r="G580" s="6">
        <v>2</v>
      </c>
      <c r="H580" s="6">
        <v>0</v>
      </c>
      <c r="I580" s="11">
        <v>0.2</v>
      </c>
      <c r="J580">
        <v>1</v>
      </c>
    </row>
    <row r="581" spans="1:10" x14ac:dyDescent="0.45">
      <c r="A581" s="9">
        <v>632</v>
      </c>
      <c r="B581" s="9" t="s">
        <v>1935</v>
      </c>
      <c r="C581" s="12">
        <v>0</v>
      </c>
      <c r="D581" s="10">
        <v>1</v>
      </c>
      <c r="E581" s="10">
        <v>0</v>
      </c>
      <c r="F581" s="6">
        <v>0</v>
      </c>
      <c r="G581" s="6">
        <v>27</v>
      </c>
      <c r="H581" s="6">
        <v>0</v>
      </c>
      <c r="I581" s="11">
        <v>0</v>
      </c>
      <c r="J581">
        <v>1</v>
      </c>
    </row>
    <row r="582" spans="1:10" x14ac:dyDescent="0.45">
      <c r="A582" s="9">
        <v>633</v>
      </c>
      <c r="B582" s="9" t="s">
        <v>1936</v>
      </c>
      <c r="C582" s="12">
        <v>0.15</v>
      </c>
      <c r="D582" s="10">
        <v>0</v>
      </c>
      <c r="E582" s="10">
        <v>1</v>
      </c>
      <c r="F582" s="6">
        <v>0</v>
      </c>
      <c r="G582" s="6">
        <v>24</v>
      </c>
      <c r="H582" s="6">
        <v>0</v>
      </c>
      <c r="I582" s="11">
        <v>0.35</v>
      </c>
      <c r="J582">
        <v>1</v>
      </c>
    </row>
    <row r="583" spans="1:10" x14ac:dyDescent="0.45">
      <c r="A583" s="9">
        <v>634</v>
      </c>
      <c r="B583" s="9" t="s">
        <v>1937</v>
      </c>
      <c r="C583" s="12">
        <v>0.15</v>
      </c>
      <c r="D583" s="10">
        <v>0</v>
      </c>
      <c r="E583" s="10">
        <v>1</v>
      </c>
      <c r="F583" s="6">
        <v>0</v>
      </c>
      <c r="G583" s="6">
        <v>1</v>
      </c>
      <c r="H583" s="6">
        <v>0</v>
      </c>
      <c r="I583" s="11">
        <v>0.2</v>
      </c>
      <c r="J583">
        <v>1</v>
      </c>
    </row>
    <row r="584" spans="1:10" x14ac:dyDescent="0.45">
      <c r="A584" s="9">
        <v>635</v>
      </c>
      <c r="B584" s="9" t="s">
        <v>1938</v>
      </c>
      <c r="C584" s="12">
        <v>0.15</v>
      </c>
      <c r="D584" s="10">
        <v>0</v>
      </c>
      <c r="E584" s="10">
        <v>0</v>
      </c>
      <c r="F584" s="6">
        <v>0</v>
      </c>
      <c r="G584" s="6">
        <v>29</v>
      </c>
      <c r="H584" s="6">
        <v>0</v>
      </c>
      <c r="I584" s="11">
        <v>0</v>
      </c>
      <c r="J584">
        <v>1</v>
      </c>
    </row>
    <row r="585" spans="1:10" x14ac:dyDescent="0.45">
      <c r="A585" s="9">
        <v>636</v>
      </c>
      <c r="B585" s="9" t="s">
        <v>1939</v>
      </c>
      <c r="C585" s="12">
        <v>0.15</v>
      </c>
      <c r="D585" s="10">
        <v>0</v>
      </c>
      <c r="E585" s="10">
        <v>1</v>
      </c>
      <c r="F585" s="6">
        <v>0</v>
      </c>
      <c r="G585" s="6">
        <v>24</v>
      </c>
      <c r="H585" s="6">
        <v>0</v>
      </c>
      <c r="I585" s="11">
        <v>0.35</v>
      </c>
      <c r="J585">
        <v>1</v>
      </c>
    </row>
    <row r="586" spans="1:10" x14ac:dyDescent="0.45">
      <c r="A586" s="9">
        <v>637</v>
      </c>
      <c r="B586" s="9" t="s">
        <v>1940</v>
      </c>
      <c r="C586" s="12">
        <v>0.15</v>
      </c>
      <c r="D586" s="10">
        <v>0</v>
      </c>
      <c r="E586" s="10">
        <v>1</v>
      </c>
      <c r="F586" s="6">
        <v>0</v>
      </c>
      <c r="G586" s="6">
        <v>24</v>
      </c>
      <c r="H586" s="6">
        <v>0</v>
      </c>
      <c r="I586" s="11">
        <v>0.2</v>
      </c>
      <c r="J586">
        <v>1</v>
      </c>
    </row>
    <row r="587" spans="1:10" x14ac:dyDescent="0.45">
      <c r="A587" s="9">
        <v>638</v>
      </c>
      <c r="B587" s="9" t="s">
        <v>1941</v>
      </c>
      <c r="C587" s="12">
        <v>0.15</v>
      </c>
      <c r="D587" s="10">
        <v>0</v>
      </c>
      <c r="E587" s="10">
        <v>0</v>
      </c>
      <c r="F587" s="6">
        <v>0</v>
      </c>
      <c r="G587" s="6">
        <v>25</v>
      </c>
      <c r="H587" s="6">
        <v>0</v>
      </c>
      <c r="I587" s="11">
        <v>0</v>
      </c>
      <c r="J587">
        <v>1</v>
      </c>
    </row>
    <row r="588" spans="1:10" x14ac:dyDescent="0.45">
      <c r="A588" s="9">
        <v>639</v>
      </c>
      <c r="B588" s="9" t="s">
        <v>1942</v>
      </c>
      <c r="C588" s="12">
        <v>0.15</v>
      </c>
      <c r="D588" s="10">
        <v>0</v>
      </c>
      <c r="E588" s="10">
        <v>1</v>
      </c>
      <c r="F588" s="6">
        <v>0</v>
      </c>
      <c r="G588" s="6">
        <v>10</v>
      </c>
      <c r="H588" s="6">
        <v>0</v>
      </c>
      <c r="I588" s="11">
        <v>0.2</v>
      </c>
      <c r="J588">
        <v>1</v>
      </c>
    </row>
    <row r="589" spans="1:10" x14ac:dyDescent="0.45">
      <c r="A589" s="9">
        <v>640</v>
      </c>
      <c r="B589" s="9" t="s">
        <v>1943</v>
      </c>
      <c r="C589" s="12">
        <v>0.15</v>
      </c>
      <c r="D589" s="10">
        <v>0</v>
      </c>
      <c r="E589" s="10">
        <v>0</v>
      </c>
      <c r="F589" s="6">
        <v>0</v>
      </c>
      <c r="G589" s="6">
        <v>24</v>
      </c>
      <c r="H589" s="6">
        <v>0</v>
      </c>
      <c r="I589" s="11">
        <v>0.35</v>
      </c>
      <c r="J589">
        <v>1</v>
      </c>
    </row>
    <row r="590" spans="1:10" x14ac:dyDescent="0.45">
      <c r="A590" s="9">
        <v>641</v>
      </c>
      <c r="B590" s="9" t="s">
        <v>1944</v>
      </c>
      <c r="C590" s="12">
        <v>0.15</v>
      </c>
      <c r="D590" s="10">
        <v>0</v>
      </c>
      <c r="E590" s="10">
        <v>0</v>
      </c>
      <c r="F590" s="6">
        <v>0</v>
      </c>
      <c r="G590" s="6">
        <v>27</v>
      </c>
      <c r="H590" s="6">
        <v>0</v>
      </c>
      <c r="I590" s="11">
        <v>0</v>
      </c>
      <c r="J590">
        <v>1</v>
      </c>
    </row>
    <row r="591" spans="1:10" x14ac:dyDescent="0.45">
      <c r="A591" s="9">
        <v>642</v>
      </c>
      <c r="B591" s="9" t="s">
        <v>1945</v>
      </c>
      <c r="C591" s="12">
        <v>0.15</v>
      </c>
      <c r="D591" s="10">
        <v>0</v>
      </c>
      <c r="E591" s="10">
        <v>0</v>
      </c>
      <c r="F591" s="6">
        <v>0</v>
      </c>
      <c r="G591" s="6">
        <v>31</v>
      </c>
      <c r="H591" s="6">
        <v>0</v>
      </c>
      <c r="I591" s="11">
        <v>0</v>
      </c>
      <c r="J591">
        <v>1</v>
      </c>
    </row>
    <row r="592" spans="1:10" x14ac:dyDescent="0.45">
      <c r="A592" s="9">
        <v>643</v>
      </c>
      <c r="B592" s="9" t="s">
        <v>1946</v>
      </c>
      <c r="C592" s="12">
        <v>0.15</v>
      </c>
      <c r="D592" s="10">
        <v>0</v>
      </c>
      <c r="E592" s="10">
        <v>0</v>
      </c>
      <c r="F592" s="6">
        <v>0</v>
      </c>
      <c r="G592" s="6">
        <v>25</v>
      </c>
      <c r="H592" s="6">
        <v>0</v>
      </c>
      <c r="I592" s="11">
        <v>0</v>
      </c>
      <c r="J592">
        <v>1</v>
      </c>
    </row>
    <row r="593" spans="1:10" x14ac:dyDescent="0.45">
      <c r="A593" s="9">
        <v>644</v>
      </c>
      <c r="B593" s="9" t="s">
        <v>1947</v>
      </c>
      <c r="C593" s="12">
        <v>0.15</v>
      </c>
      <c r="D593" s="10">
        <v>0</v>
      </c>
      <c r="E593" s="10">
        <v>0</v>
      </c>
      <c r="F593" s="6">
        <v>0</v>
      </c>
      <c r="G593" s="6">
        <v>33</v>
      </c>
      <c r="H593" s="6">
        <v>0</v>
      </c>
      <c r="I593" s="11">
        <v>0</v>
      </c>
      <c r="J593">
        <v>1</v>
      </c>
    </row>
    <row r="594" spans="1:10" x14ac:dyDescent="0.45">
      <c r="A594" s="9">
        <v>645</v>
      </c>
      <c r="B594" s="9" t="s">
        <v>1948</v>
      </c>
      <c r="C594" s="12">
        <v>0</v>
      </c>
      <c r="D594" s="10">
        <v>1</v>
      </c>
      <c r="E594" s="10">
        <v>0</v>
      </c>
      <c r="F594" s="6">
        <v>0</v>
      </c>
      <c r="G594" s="6">
        <v>3</v>
      </c>
      <c r="H594" s="6">
        <v>0</v>
      </c>
      <c r="I594" s="11">
        <v>0</v>
      </c>
      <c r="J594">
        <v>1</v>
      </c>
    </row>
    <row r="595" spans="1:10" x14ac:dyDescent="0.45">
      <c r="A595" s="9">
        <v>646</v>
      </c>
      <c r="B595" s="9" t="s">
        <v>1949</v>
      </c>
      <c r="C595" s="12">
        <v>0.15</v>
      </c>
      <c r="D595" s="10">
        <v>0</v>
      </c>
      <c r="E595" s="10">
        <v>0</v>
      </c>
      <c r="F595" s="6">
        <v>0</v>
      </c>
      <c r="G595" s="6">
        <v>5</v>
      </c>
      <c r="H595" s="6">
        <v>0</v>
      </c>
      <c r="I595" s="11">
        <v>0</v>
      </c>
      <c r="J595">
        <v>1</v>
      </c>
    </row>
    <row r="596" spans="1:10" x14ac:dyDescent="0.45">
      <c r="A596" s="9">
        <v>647</v>
      </c>
      <c r="B596" s="9" t="s">
        <v>1950</v>
      </c>
      <c r="C596" s="12">
        <v>0</v>
      </c>
      <c r="D596" s="10">
        <v>1</v>
      </c>
      <c r="E596" s="10">
        <v>0</v>
      </c>
      <c r="F596" s="6">
        <v>0</v>
      </c>
      <c r="G596" s="6">
        <v>5</v>
      </c>
      <c r="H596" s="6">
        <v>0</v>
      </c>
      <c r="I596" s="11">
        <v>0</v>
      </c>
      <c r="J596">
        <v>1</v>
      </c>
    </row>
    <row r="597" spans="1:10" x14ac:dyDescent="0.45">
      <c r="A597" s="9">
        <v>648</v>
      </c>
      <c r="B597" s="9" t="s">
        <v>1951</v>
      </c>
      <c r="C597" s="12">
        <v>0.15</v>
      </c>
      <c r="D597" s="10">
        <v>0</v>
      </c>
      <c r="E597" s="10">
        <v>0</v>
      </c>
      <c r="F597" s="6">
        <v>0</v>
      </c>
      <c r="G597" s="6">
        <v>5</v>
      </c>
      <c r="H597" s="6">
        <v>0</v>
      </c>
      <c r="I597" s="11">
        <v>0</v>
      </c>
      <c r="J597">
        <v>1</v>
      </c>
    </row>
    <row r="598" spans="1:10" x14ac:dyDescent="0.45">
      <c r="A598" s="9">
        <v>649</v>
      </c>
      <c r="B598" s="9" t="s">
        <v>1952</v>
      </c>
      <c r="C598" s="12">
        <v>0.15</v>
      </c>
      <c r="D598" s="10">
        <v>0</v>
      </c>
      <c r="E598" s="10">
        <v>1</v>
      </c>
      <c r="F598" s="6">
        <v>0</v>
      </c>
      <c r="G598" s="6">
        <v>9</v>
      </c>
      <c r="H598" s="6">
        <v>0</v>
      </c>
      <c r="I598" s="11">
        <v>0.2</v>
      </c>
      <c r="J598">
        <v>1</v>
      </c>
    </row>
    <row r="599" spans="1:10" x14ac:dyDescent="0.45">
      <c r="A599" s="9">
        <v>650</v>
      </c>
      <c r="B599" s="9" t="s">
        <v>1953</v>
      </c>
      <c r="C599" s="12">
        <v>0</v>
      </c>
      <c r="D599" s="10">
        <v>1</v>
      </c>
      <c r="E599" s="10">
        <v>0</v>
      </c>
      <c r="F599" s="6">
        <v>0</v>
      </c>
      <c r="G599" s="6">
        <v>1</v>
      </c>
      <c r="H599" s="6">
        <v>0</v>
      </c>
      <c r="I599" s="11">
        <v>0</v>
      </c>
      <c r="J599">
        <v>1</v>
      </c>
    </row>
    <row r="600" spans="1:10" x14ac:dyDescent="0.45">
      <c r="A600" s="9">
        <v>651</v>
      </c>
      <c r="B600" s="9" t="s">
        <v>1954</v>
      </c>
      <c r="C600" s="12">
        <v>0.15</v>
      </c>
      <c r="D600" s="10">
        <v>0</v>
      </c>
      <c r="E600" s="10">
        <v>0</v>
      </c>
      <c r="F600" s="6">
        <v>0</v>
      </c>
      <c r="G600" s="6">
        <v>7</v>
      </c>
      <c r="H600" s="6">
        <v>0</v>
      </c>
      <c r="I600" s="11">
        <v>0.2</v>
      </c>
      <c r="J600">
        <v>1</v>
      </c>
    </row>
    <row r="601" spans="1:10" x14ac:dyDescent="0.45">
      <c r="A601" s="9">
        <v>652</v>
      </c>
      <c r="B601" s="9" t="s">
        <v>1955</v>
      </c>
      <c r="C601" s="12">
        <v>0.15</v>
      </c>
      <c r="D601" s="10">
        <v>0</v>
      </c>
      <c r="E601" s="10">
        <v>1</v>
      </c>
      <c r="F601" s="6">
        <v>0</v>
      </c>
      <c r="G601" s="6">
        <v>11</v>
      </c>
      <c r="H601" s="6">
        <v>0</v>
      </c>
      <c r="I601" s="11">
        <v>0.2</v>
      </c>
      <c r="J601">
        <v>1</v>
      </c>
    </row>
    <row r="602" spans="1:10" x14ac:dyDescent="0.45">
      <c r="A602" s="9">
        <v>653</v>
      </c>
      <c r="B602" s="9" t="s">
        <v>1956</v>
      </c>
      <c r="C602" s="12">
        <v>0.15</v>
      </c>
      <c r="D602" s="10">
        <v>0</v>
      </c>
      <c r="E602" s="10">
        <v>1</v>
      </c>
      <c r="F602" s="6">
        <v>0</v>
      </c>
      <c r="G602" s="6">
        <v>11</v>
      </c>
      <c r="H602" s="6">
        <v>0</v>
      </c>
      <c r="I602" s="11">
        <v>0.2</v>
      </c>
      <c r="J602">
        <v>1</v>
      </c>
    </row>
    <row r="603" spans="1:10" x14ac:dyDescent="0.45">
      <c r="A603" s="9">
        <v>654</v>
      </c>
      <c r="B603" s="9" t="s">
        <v>1957</v>
      </c>
      <c r="C603" s="12">
        <v>0.15</v>
      </c>
      <c r="D603" s="10">
        <v>0</v>
      </c>
      <c r="E603" s="10">
        <v>1</v>
      </c>
      <c r="F603" s="6">
        <v>0</v>
      </c>
      <c r="G603" s="6">
        <v>10</v>
      </c>
      <c r="H603" s="6">
        <v>0</v>
      </c>
      <c r="I603" s="11">
        <v>0.2</v>
      </c>
      <c r="J603">
        <v>1</v>
      </c>
    </row>
    <row r="604" spans="1:10" x14ac:dyDescent="0.45">
      <c r="A604" s="9">
        <v>655</v>
      </c>
      <c r="B604" s="9" t="s">
        <v>1958</v>
      </c>
      <c r="C604" s="12">
        <v>0.15</v>
      </c>
      <c r="D604" s="10">
        <v>0</v>
      </c>
      <c r="E604" s="10">
        <v>1</v>
      </c>
      <c r="F604" s="6">
        <v>0</v>
      </c>
      <c r="G604" s="6">
        <v>24</v>
      </c>
      <c r="H604" s="6">
        <v>0</v>
      </c>
      <c r="I604" s="11">
        <v>0.2</v>
      </c>
      <c r="J604">
        <v>1</v>
      </c>
    </row>
    <row r="605" spans="1:10" x14ac:dyDescent="0.45">
      <c r="A605" s="9">
        <v>656</v>
      </c>
      <c r="B605" s="9" t="s">
        <v>1959</v>
      </c>
      <c r="C605" s="12">
        <v>0</v>
      </c>
      <c r="D605" s="10">
        <v>1</v>
      </c>
      <c r="E605" s="10">
        <v>0</v>
      </c>
      <c r="F605" s="6">
        <v>0</v>
      </c>
      <c r="G605" s="6">
        <v>2</v>
      </c>
      <c r="H605" s="6">
        <v>0</v>
      </c>
      <c r="I605" s="11">
        <v>0.2</v>
      </c>
      <c r="J605">
        <v>1</v>
      </c>
    </row>
    <row r="606" spans="1:10" x14ac:dyDescent="0.45">
      <c r="A606" s="9">
        <v>657</v>
      </c>
      <c r="B606" s="9" t="s">
        <v>1960</v>
      </c>
      <c r="C606" s="12">
        <v>0.15</v>
      </c>
      <c r="D606" s="10">
        <v>0</v>
      </c>
      <c r="E606" s="10">
        <v>0</v>
      </c>
      <c r="F606" s="6">
        <v>0</v>
      </c>
      <c r="G606" s="6">
        <v>31</v>
      </c>
      <c r="H606" s="6">
        <v>0</v>
      </c>
      <c r="I606" s="11">
        <v>0</v>
      </c>
      <c r="J606">
        <v>1</v>
      </c>
    </row>
    <row r="607" spans="1:10" x14ac:dyDescent="0.45">
      <c r="A607" s="9">
        <v>658</v>
      </c>
      <c r="B607" s="9" t="s">
        <v>1961</v>
      </c>
      <c r="C607" s="12">
        <v>0.15</v>
      </c>
      <c r="D607" s="10">
        <v>0</v>
      </c>
      <c r="E607" s="10">
        <v>1</v>
      </c>
      <c r="F607" s="6">
        <v>0</v>
      </c>
      <c r="G607" s="6">
        <v>19</v>
      </c>
      <c r="H607" s="6">
        <v>0</v>
      </c>
      <c r="I607" s="11">
        <v>0.2</v>
      </c>
      <c r="J607">
        <v>1</v>
      </c>
    </row>
    <row r="608" spans="1:10" x14ac:dyDescent="0.45">
      <c r="A608" s="9">
        <v>659</v>
      </c>
      <c r="B608" s="9" t="s">
        <v>1962</v>
      </c>
      <c r="C608" s="12">
        <v>0.15</v>
      </c>
      <c r="D608" s="10">
        <v>0</v>
      </c>
      <c r="E608" s="10">
        <v>1</v>
      </c>
      <c r="F608" s="6">
        <v>0</v>
      </c>
      <c r="G608" s="6">
        <v>25</v>
      </c>
      <c r="H608" s="6">
        <v>0</v>
      </c>
      <c r="I608" s="11">
        <v>0</v>
      </c>
      <c r="J608">
        <v>1</v>
      </c>
    </row>
    <row r="609" spans="1:10" x14ac:dyDescent="0.45">
      <c r="A609" s="9">
        <v>660</v>
      </c>
      <c r="B609" s="9" t="s">
        <v>1963</v>
      </c>
      <c r="C609" s="12">
        <v>0.15</v>
      </c>
      <c r="D609" s="10">
        <v>0</v>
      </c>
      <c r="E609" s="10">
        <v>1</v>
      </c>
      <c r="F609" s="6">
        <v>0</v>
      </c>
      <c r="G609" s="6">
        <v>11</v>
      </c>
      <c r="H609" s="6">
        <v>0</v>
      </c>
      <c r="I609" s="11">
        <v>0.2</v>
      </c>
      <c r="J609">
        <v>1</v>
      </c>
    </row>
    <row r="610" spans="1:10" x14ac:dyDescent="0.45">
      <c r="A610" s="9">
        <v>661</v>
      </c>
      <c r="B610" s="9" t="s">
        <v>1964</v>
      </c>
      <c r="C610" s="12">
        <v>0.15</v>
      </c>
      <c r="D610" s="10">
        <v>0</v>
      </c>
      <c r="E610" s="10">
        <v>1</v>
      </c>
      <c r="F610" s="6">
        <v>0</v>
      </c>
      <c r="G610" s="6">
        <v>24</v>
      </c>
      <c r="H610" s="6">
        <v>0</v>
      </c>
      <c r="I610" s="11">
        <v>0.35</v>
      </c>
      <c r="J610">
        <v>1</v>
      </c>
    </row>
    <row r="611" spans="1:10" x14ac:dyDescent="0.45">
      <c r="A611" s="9">
        <v>662</v>
      </c>
      <c r="B611" s="9" t="s">
        <v>1965</v>
      </c>
      <c r="C611" s="12">
        <v>0.15</v>
      </c>
      <c r="D611" s="10">
        <v>0</v>
      </c>
      <c r="E611" s="10">
        <v>0</v>
      </c>
      <c r="F611" s="6">
        <v>0</v>
      </c>
      <c r="G611" s="6">
        <v>24</v>
      </c>
      <c r="H611" s="6">
        <v>0</v>
      </c>
      <c r="I611" s="11">
        <v>0.35</v>
      </c>
      <c r="J611">
        <v>1</v>
      </c>
    </row>
    <row r="612" spans="1:10" x14ac:dyDescent="0.45">
      <c r="A612" s="9">
        <v>663</v>
      </c>
      <c r="B612" s="9" t="s">
        <v>1966</v>
      </c>
      <c r="C612" s="12">
        <v>0.15</v>
      </c>
      <c r="D612" s="10">
        <v>0</v>
      </c>
      <c r="E612" s="10">
        <v>1</v>
      </c>
      <c r="F612" s="6">
        <v>0</v>
      </c>
      <c r="G612" s="6">
        <v>24</v>
      </c>
      <c r="H612" s="6">
        <v>0</v>
      </c>
      <c r="I612" s="11">
        <v>0.2</v>
      </c>
      <c r="J612">
        <v>1</v>
      </c>
    </row>
    <row r="613" spans="1:10" x14ac:dyDescent="0.45">
      <c r="A613" s="9">
        <v>664</v>
      </c>
      <c r="B613" s="9" t="s">
        <v>1967</v>
      </c>
      <c r="C613" s="12">
        <v>0.15</v>
      </c>
      <c r="D613" s="10">
        <v>0</v>
      </c>
      <c r="E613" s="10">
        <v>0</v>
      </c>
      <c r="F613" s="6">
        <v>0</v>
      </c>
      <c r="G613" s="6">
        <v>33</v>
      </c>
      <c r="H613" s="6">
        <v>0</v>
      </c>
      <c r="I613" s="11">
        <v>0.2</v>
      </c>
      <c r="J613">
        <v>1</v>
      </c>
    </row>
    <row r="614" spans="1:10" x14ac:dyDescent="0.45">
      <c r="A614" s="9">
        <v>665</v>
      </c>
      <c r="B614" s="9" t="s">
        <v>1968</v>
      </c>
      <c r="C614" s="12">
        <v>0.15</v>
      </c>
      <c r="D614" s="10">
        <v>0</v>
      </c>
      <c r="E614" s="10">
        <v>0</v>
      </c>
      <c r="F614" s="6">
        <v>0</v>
      </c>
      <c r="G614" s="6">
        <v>25</v>
      </c>
      <c r="H614" s="6">
        <v>0</v>
      </c>
      <c r="I614" s="11">
        <v>0.2</v>
      </c>
      <c r="J614">
        <v>1</v>
      </c>
    </row>
    <row r="615" spans="1:10" x14ac:dyDescent="0.45">
      <c r="A615" s="9">
        <v>666</v>
      </c>
      <c r="B615" s="9" t="s">
        <v>1969</v>
      </c>
      <c r="C615" s="12">
        <v>0</v>
      </c>
      <c r="D615" s="10">
        <v>1</v>
      </c>
      <c r="E615" s="10">
        <v>0</v>
      </c>
      <c r="F615" s="6">
        <v>0</v>
      </c>
      <c r="G615" s="6">
        <v>3</v>
      </c>
      <c r="H615" s="6">
        <v>0</v>
      </c>
      <c r="I615" s="11">
        <v>0.35</v>
      </c>
      <c r="J615">
        <v>1</v>
      </c>
    </row>
    <row r="616" spans="1:10" x14ac:dyDescent="0.45">
      <c r="A616" s="9">
        <v>667</v>
      </c>
      <c r="B616" s="9" t="s">
        <v>1970</v>
      </c>
      <c r="C616" s="12">
        <v>0</v>
      </c>
      <c r="D616" s="10">
        <v>1</v>
      </c>
      <c r="E616" s="10">
        <v>0</v>
      </c>
      <c r="F616" s="6">
        <v>0</v>
      </c>
      <c r="G616" s="6">
        <v>3</v>
      </c>
      <c r="H616" s="6">
        <v>0</v>
      </c>
      <c r="I616" s="11">
        <v>0</v>
      </c>
      <c r="J616">
        <v>1</v>
      </c>
    </row>
    <row r="617" spans="1:10" x14ac:dyDescent="0.45">
      <c r="A617" s="9">
        <v>668</v>
      </c>
      <c r="B617" s="9" t="s">
        <v>1971</v>
      </c>
      <c r="C617" s="12">
        <v>0.15</v>
      </c>
      <c r="D617" s="10">
        <v>0</v>
      </c>
      <c r="E617" s="10">
        <v>0</v>
      </c>
      <c r="F617" s="6">
        <v>0</v>
      </c>
      <c r="G617" s="6">
        <v>31</v>
      </c>
      <c r="H617" s="6">
        <v>0</v>
      </c>
      <c r="I617" s="11">
        <v>0</v>
      </c>
      <c r="J617">
        <v>1</v>
      </c>
    </row>
    <row r="618" spans="1:10" x14ac:dyDescent="0.45">
      <c r="A618" s="9">
        <v>669</v>
      </c>
      <c r="B618" s="9" t="s">
        <v>1972</v>
      </c>
      <c r="C618" s="12">
        <v>0</v>
      </c>
      <c r="D618" s="10">
        <v>1</v>
      </c>
      <c r="E618" s="10">
        <v>0</v>
      </c>
      <c r="F618" s="6">
        <v>0</v>
      </c>
      <c r="G618" s="6">
        <v>3</v>
      </c>
      <c r="H618" s="6">
        <v>0</v>
      </c>
      <c r="I618" s="11">
        <v>0</v>
      </c>
      <c r="J618">
        <v>1</v>
      </c>
    </row>
    <row r="619" spans="1:10" x14ac:dyDescent="0.45">
      <c r="A619" s="9">
        <v>670</v>
      </c>
      <c r="B619" s="9" t="s">
        <v>1973</v>
      </c>
      <c r="C619" s="12">
        <v>0.15</v>
      </c>
      <c r="D619" s="10">
        <v>0</v>
      </c>
      <c r="E619" s="10">
        <v>0</v>
      </c>
      <c r="F619" s="6">
        <v>0</v>
      </c>
      <c r="G619" s="6">
        <v>31</v>
      </c>
      <c r="H619" s="6">
        <v>0</v>
      </c>
      <c r="I619" s="11">
        <v>0</v>
      </c>
      <c r="J619">
        <v>1</v>
      </c>
    </row>
    <row r="620" spans="1:10" x14ac:dyDescent="0.45">
      <c r="A620" s="9">
        <v>671</v>
      </c>
      <c r="B620" s="9" t="s">
        <v>1974</v>
      </c>
      <c r="C620" s="12">
        <v>0.15</v>
      </c>
      <c r="D620" s="10">
        <v>0</v>
      </c>
      <c r="E620" s="10">
        <v>0</v>
      </c>
      <c r="F620" s="6">
        <v>0</v>
      </c>
      <c r="G620" s="6">
        <v>27</v>
      </c>
      <c r="H620" s="6">
        <v>0</v>
      </c>
      <c r="I620" s="11">
        <v>0</v>
      </c>
      <c r="J620">
        <v>1</v>
      </c>
    </row>
    <row r="621" spans="1:10" x14ac:dyDescent="0.45">
      <c r="A621" s="9">
        <v>672</v>
      </c>
      <c r="B621" s="9" t="s">
        <v>1975</v>
      </c>
      <c r="C621" s="12">
        <v>0.15</v>
      </c>
      <c r="D621" s="10">
        <v>0</v>
      </c>
      <c r="E621" s="10">
        <v>0</v>
      </c>
      <c r="F621" s="6">
        <v>0</v>
      </c>
      <c r="G621" s="6">
        <v>31</v>
      </c>
      <c r="H621" s="6">
        <v>0</v>
      </c>
      <c r="I621" s="11">
        <v>0</v>
      </c>
      <c r="J621">
        <v>1</v>
      </c>
    </row>
    <row r="622" spans="1:10" x14ac:dyDescent="0.45">
      <c r="A622" s="9">
        <v>673</v>
      </c>
      <c r="B622" s="9" t="s">
        <v>1976</v>
      </c>
      <c r="C622" s="12">
        <v>0</v>
      </c>
      <c r="D622" s="10">
        <v>1</v>
      </c>
      <c r="E622" s="10">
        <v>0</v>
      </c>
      <c r="F622" s="6">
        <v>0</v>
      </c>
      <c r="G622" s="6">
        <v>2</v>
      </c>
      <c r="H622" s="6">
        <v>0</v>
      </c>
      <c r="I622" s="11">
        <v>0.05</v>
      </c>
      <c r="J622">
        <v>1</v>
      </c>
    </row>
    <row r="623" spans="1:10" x14ac:dyDescent="0.45">
      <c r="A623" s="9">
        <v>674</v>
      </c>
      <c r="B623" s="9" t="s">
        <v>1977</v>
      </c>
      <c r="C623" s="12">
        <v>0.15</v>
      </c>
      <c r="D623" s="10">
        <v>0</v>
      </c>
      <c r="E623" s="10">
        <v>0</v>
      </c>
      <c r="F623" s="6">
        <v>0</v>
      </c>
      <c r="G623" s="6">
        <v>31</v>
      </c>
      <c r="H623" s="6">
        <v>0</v>
      </c>
      <c r="I623" s="11">
        <v>0</v>
      </c>
      <c r="J623">
        <v>1</v>
      </c>
    </row>
    <row r="624" spans="1:10" x14ac:dyDescent="0.45">
      <c r="A624" s="9">
        <v>675</v>
      </c>
      <c r="B624" s="9" t="s">
        <v>1978</v>
      </c>
      <c r="C624" s="12">
        <v>0.15</v>
      </c>
      <c r="D624" s="10">
        <v>0</v>
      </c>
      <c r="E624" s="10">
        <v>0</v>
      </c>
      <c r="F624" s="6">
        <v>0</v>
      </c>
      <c r="G624" s="6">
        <v>25</v>
      </c>
      <c r="H624" s="6">
        <v>0</v>
      </c>
      <c r="I624" s="11">
        <v>0</v>
      </c>
      <c r="J624">
        <v>1</v>
      </c>
    </row>
    <row r="625" spans="1:10" x14ac:dyDescent="0.45">
      <c r="A625" s="9">
        <v>676</v>
      </c>
      <c r="B625" s="9" t="s">
        <v>1979</v>
      </c>
      <c r="C625" s="12">
        <v>0.15</v>
      </c>
      <c r="D625" s="10">
        <v>0</v>
      </c>
      <c r="E625" s="10">
        <v>0</v>
      </c>
      <c r="F625" s="6">
        <v>0</v>
      </c>
      <c r="G625" s="6">
        <v>25</v>
      </c>
      <c r="H625" s="6">
        <v>0</v>
      </c>
      <c r="I625" s="11">
        <v>0</v>
      </c>
      <c r="J625">
        <v>1</v>
      </c>
    </row>
    <row r="626" spans="1:10" x14ac:dyDescent="0.45">
      <c r="A626" s="9">
        <v>677</v>
      </c>
      <c r="B626" s="9" t="s">
        <v>1980</v>
      </c>
      <c r="C626" s="12">
        <v>0.15</v>
      </c>
      <c r="D626" s="10">
        <v>0</v>
      </c>
      <c r="E626" s="10">
        <v>1</v>
      </c>
      <c r="F626" s="6">
        <v>0</v>
      </c>
      <c r="G626" s="6">
        <v>2</v>
      </c>
      <c r="H626" s="6">
        <v>0</v>
      </c>
      <c r="I626" s="11">
        <v>0.1</v>
      </c>
      <c r="J626">
        <v>1</v>
      </c>
    </row>
    <row r="627" spans="1:10" x14ac:dyDescent="0.45">
      <c r="A627" s="9">
        <v>678</v>
      </c>
      <c r="B627" s="9" t="s">
        <v>1981</v>
      </c>
      <c r="C627" s="12">
        <v>0.15</v>
      </c>
      <c r="D627" s="10">
        <v>0</v>
      </c>
      <c r="E627" s="10">
        <v>0</v>
      </c>
      <c r="F627" s="6">
        <v>0</v>
      </c>
      <c r="G627" s="6">
        <v>8</v>
      </c>
      <c r="H627" s="6">
        <v>0</v>
      </c>
      <c r="I627" s="11">
        <v>0.2</v>
      </c>
      <c r="J627">
        <v>1</v>
      </c>
    </row>
    <row r="628" spans="1:10" x14ac:dyDescent="0.45">
      <c r="A628" s="9">
        <v>679</v>
      </c>
      <c r="B628" s="9" t="s">
        <v>1982</v>
      </c>
      <c r="C628" s="12">
        <v>0.15</v>
      </c>
      <c r="D628" s="10">
        <v>0</v>
      </c>
      <c r="E628" s="10">
        <v>0</v>
      </c>
      <c r="F628" s="6">
        <v>0</v>
      </c>
      <c r="G628" s="6">
        <v>1</v>
      </c>
      <c r="H628" s="6">
        <v>0</v>
      </c>
      <c r="I628" s="11">
        <v>0.2</v>
      </c>
      <c r="J628">
        <v>1</v>
      </c>
    </row>
    <row r="629" spans="1:10" x14ac:dyDescent="0.45">
      <c r="A629" s="9">
        <v>680</v>
      </c>
      <c r="B629" s="9" t="s">
        <v>1983</v>
      </c>
      <c r="C629" s="12">
        <v>0</v>
      </c>
      <c r="D629" s="10">
        <v>1</v>
      </c>
      <c r="E629" s="10">
        <v>0</v>
      </c>
      <c r="F629" s="6">
        <v>0</v>
      </c>
      <c r="G629" s="6">
        <v>27</v>
      </c>
      <c r="H629" s="6">
        <v>0</v>
      </c>
      <c r="I629" s="11">
        <v>0</v>
      </c>
      <c r="J629">
        <v>1</v>
      </c>
    </row>
    <row r="630" spans="1:10" x14ac:dyDescent="0.45">
      <c r="A630" s="9">
        <v>681</v>
      </c>
      <c r="B630" s="9" t="s">
        <v>1984</v>
      </c>
      <c r="C630" s="12">
        <v>0.15</v>
      </c>
      <c r="D630" s="10">
        <v>0</v>
      </c>
      <c r="E630" s="10">
        <v>0</v>
      </c>
      <c r="F630" s="6">
        <v>0</v>
      </c>
      <c r="G630" s="6">
        <v>29</v>
      </c>
      <c r="H630" s="6">
        <v>0</v>
      </c>
      <c r="I630" s="11">
        <v>0</v>
      </c>
      <c r="J630">
        <v>1</v>
      </c>
    </row>
    <row r="631" spans="1:10" x14ac:dyDescent="0.45">
      <c r="A631" s="9">
        <v>682</v>
      </c>
      <c r="B631" s="9" t="s">
        <v>1985</v>
      </c>
      <c r="C631" s="12">
        <v>0</v>
      </c>
      <c r="D631" s="10">
        <v>1</v>
      </c>
      <c r="E631" s="10">
        <v>0</v>
      </c>
      <c r="F631" s="6">
        <v>0</v>
      </c>
      <c r="G631" s="6">
        <v>1</v>
      </c>
      <c r="H631" s="6">
        <v>0</v>
      </c>
      <c r="I631" s="11">
        <v>0</v>
      </c>
      <c r="J631">
        <v>1</v>
      </c>
    </row>
    <row r="632" spans="1:10" x14ac:dyDescent="0.45">
      <c r="A632" s="9">
        <v>683</v>
      </c>
      <c r="B632" s="9" t="s">
        <v>1986</v>
      </c>
      <c r="C632" s="12">
        <v>0.15</v>
      </c>
      <c r="D632" s="10">
        <v>0</v>
      </c>
      <c r="E632" s="10">
        <v>0</v>
      </c>
      <c r="F632" s="6">
        <v>0</v>
      </c>
      <c r="G632" s="6">
        <v>1</v>
      </c>
      <c r="H632" s="6">
        <v>0</v>
      </c>
      <c r="I632" s="11">
        <v>0</v>
      </c>
      <c r="J632">
        <v>1</v>
      </c>
    </row>
    <row r="633" spans="1:10" x14ac:dyDescent="0.45">
      <c r="A633" s="9">
        <v>684</v>
      </c>
      <c r="B633" s="9" t="s">
        <v>1987</v>
      </c>
      <c r="C633" s="12">
        <v>0</v>
      </c>
      <c r="D633" s="10">
        <v>1</v>
      </c>
      <c r="E633" s="10">
        <v>0</v>
      </c>
      <c r="F633" s="6">
        <v>0</v>
      </c>
      <c r="G633" s="6">
        <v>1</v>
      </c>
      <c r="H633" s="6">
        <v>0</v>
      </c>
      <c r="I633" s="11">
        <v>0</v>
      </c>
      <c r="J633">
        <v>1</v>
      </c>
    </row>
    <row r="634" spans="1:10" x14ac:dyDescent="0.45">
      <c r="A634" s="9">
        <v>685</v>
      </c>
      <c r="B634" s="9" t="s">
        <v>1988</v>
      </c>
      <c r="C634" s="12">
        <v>0</v>
      </c>
      <c r="D634" s="10">
        <v>1</v>
      </c>
      <c r="E634" s="10">
        <v>0</v>
      </c>
      <c r="F634" s="6">
        <v>0</v>
      </c>
      <c r="G634" s="6">
        <v>22</v>
      </c>
      <c r="H634" s="6">
        <v>0</v>
      </c>
      <c r="I634" s="11">
        <v>0</v>
      </c>
      <c r="J634">
        <v>1</v>
      </c>
    </row>
    <row r="635" spans="1:10" x14ac:dyDescent="0.45">
      <c r="A635" s="9">
        <v>686</v>
      </c>
      <c r="B635" s="9" t="s">
        <v>1989</v>
      </c>
      <c r="C635" s="12">
        <v>0.15</v>
      </c>
      <c r="D635" s="10">
        <v>0</v>
      </c>
      <c r="E635" s="10">
        <v>1</v>
      </c>
      <c r="F635" s="6">
        <v>0</v>
      </c>
      <c r="G635" s="6">
        <v>2</v>
      </c>
      <c r="H635" s="6">
        <v>0</v>
      </c>
      <c r="I635" s="11">
        <v>0.35</v>
      </c>
      <c r="J635">
        <v>1</v>
      </c>
    </row>
    <row r="636" spans="1:10" x14ac:dyDescent="0.45">
      <c r="A636" s="9">
        <v>687</v>
      </c>
      <c r="B636" s="9" t="s">
        <v>1990</v>
      </c>
      <c r="C636" s="12">
        <v>0</v>
      </c>
      <c r="D636" s="10">
        <v>1</v>
      </c>
      <c r="E636" s="10">
        <v>0</v>
      </c>
      <c r="F636" s="6">
        <v>0</v>
      </c>
      <c r="G636" s="6">
        <v>24</v>
      </c>
      <c r="H636" s="6">
        <v>0</v>
      </c>
      <c r="I636" s="11">
        <v>0.05</v>
      </c>
      <c r="J636">
        <v>1</v>
      </c>
    </row>
    <row r="637" spans="1:10" x14ac:dyDescent="0.45">
      <c r="A637" s="9">
        <v>688</v>
      </c>
      <c r="B637" s="9" t="s">
        <v>1991</v>
      </c>
      <c r="C637" s="12">
        <v>0</v>
      </c>
      <c r="D637" s="10">
        <v>1</v>
      </c>
      <c r="E637" s="10">
        <v>0</v>
      </c>
      <c r="F637" s="6">
        <v>0</v>
      </c>
      <c r="G637" s="6">
        <v>1</v>
      </c>
      <c r="H637" s="6">
        <v>0</v>
      </c>
      <c r="I637" s="11">
        <v>0</v>
      </c>
      <c r="J637">
        <v>1</v>
      </c>
    </row>
    <row r="638" spans="1:10" x14ac:dyDescent="0.45">
      <c r="A638" s="9">
        <v>689</v>
      </c>
      <c r="B638" s="9" t="s">
        <v>1992</v>
      </c>
      <c r="C638" s="12">
        <v>0.15</v>
      </c>
      <c r="D638" s="10">
        <v>0</v>
      </c>
      <c r="E638" s="10">
        <v>1</v>
      </c>
      <c r="F638" s="6">
        <v>0</v>
      </c>
      <c r="G638" s="6">
        <v>1</v>
      </c>
      <c r="H638" s="6">
        <v>0</v>
      </c>
      <c r="I638" s="11">
        <v>0.35</v>
      </c>
      <c r="J638">
        <v>1</v>
      </c>
    </row>
    <row r="639" spans="1:10" x14ac:dyDescent="0.45">
      <c r="A639" s="9">
        <v>690</v>
      </c>
      <c r="B639" s="9" t="s">
        <v>1993</v>
      </c>
      <c r="C639" s="12">
        <v>0.15</v>
      </c>
      <c r="D639" s="10">
        <v>0</v>
      </c>
      <c r="E639" s="10">
        <v>0</v>
      </c>
      <c r="F639" s="6">
        <v>0</v>
      </c>
      <c r="G639" s="6">
        <v>7</v>
      </c>
      <c r="H639" s="6">
        <v>0</v>
      </c>
      <c r="I639" s="11">
        <v>0</v>
      </c>
      <c r="J639">
        <v>1</v>
      </c>
    </row>
    <row r="640" spans="1:10" x14ac:dyDescent="0.45">
      <c r="A640" s="9">
        <v>691</v>
      </c>
      <c r="B640" s="9" t="s">
        <v>1994</v>
      </c>
      <c r="C640" s="12">
        <v>0.15</v>
      </c>
      <c r="D640" s="10">
        <v>0</v>
      </c>
      <c r="E640" s="10">
        <v>1</v>
      </c>
      <c r="F640" s="6">
        <v>0</v>
      </c>
      <c r="G640" s="6">
        <v>7</v>
      </c>
      <c r="H640" s="6">
        <v>0</v>
      </c>
      <c r="I640" s="11">
        <v>0</v>
      </c>
      <c r="J640">
        <v>1</v>
      </c>
    </row>
    <row r="641" spans="1:10" x14ac:dyDescent="0.45">
      <c r="A641" s="9">
        <v>692</v>
      </c>
      <c r="B641" s="9" t="s">
        <v>1995</v>
      </c>
      <c r="C641" s="12">
        <v>0.15</v>
      </c>
      <c r="D641" s="10">
        <v>0</v>
      </c>
      <c r="E641" s="10">
        <v>0</v>
      </c>
      <c r="F641" s="6">
        <v>0</v>
      </c>
      <c r="G641" s="6">
        <v>35</v>
      </c>
      <c r="H641" s="6">
        <v>0</v>
      </c>
      <c r="I641" s="11">
        <v>0</v>
      </c>
      <c r="J641">
        <v>1</v>
      </c>
    </row>
    <row r="642" spans="1:10" x14ac:dyDescent="0.45">
      <c r="A642" s="9">
        <v>693</v>
      </c>
      <c r="B642" s="9" t="s">
        <v>1996</v>
      </c>
      <c r="C642" s="12">
        <v>0.15</v>
      </c>
      <c r="D642" s="10">
        <v>0</v>
      </c>
      <c r="E642" s="10">
        <v>0</v>
      </c>
      <c r="F642" s="6">
        <v>0</v>
      </c>
      <c r="G642" s="6">
        <v>1</v>
      </c>
      <c r="H642" s="6">
        <v>0</v>
      </c>
      <c r="I642" s="11">
        <v>0</v>
      </c>
      <c r="J642">
        <v>1</v>
      </c>
    </row>
    <row r="643" spans="1:10" x14ac:dyDescent="0.45">
      <c r="A643" s="9">
        <v>694</v>
      </c>
      <c r="B643" s="9" t="s">
        <v>1997</v>
      </c>
      <c r="C643" s="12">
        <v>0.15</v>
      </c>
      <c r="D643" s="10">
        <v>0</v>
      </c>
      <c r="E643" s="10">
        <v>1</v>
      </c>
      <c r="F643" s="6">
        <v>0</v>
      </c>
      <c r="G643" s="6">
        <v>24</v>
      </c>
      <c r="H643" s="6">
        <v>0</v>
      </c>
      <c r="I643" s="11">
        <v>0.35</v>
      </c>
      <c r="J643">
        <v>1</v>
      </c>
    </row>
    <row r="644" spans="1:10" x14ac:dyDescent="0.45">
      <c r="A644" s="9">
        <v>695</v>
      </c>
      <c r="B644" s="9" t="s">
        <v>1998</v>
      </c>
      <c r="C644" s="12">
        <v>0.15</v>
      </c>
      <c r="D644" s="10">
        <v>0</v>
      </c>
      <c r="E644" s="10">
        <v>0</v>
      </c>
      <c r="F644" s="6">
        <v>0</v>
      </c>
      <c r="G644" s="6">
        <v>24</v>
      </c>
      <c r="H644" s="6">
        <v>0</v>
      </c>
      <c r="I644" s="11">
        <v>0.35</v>
      </c>
      <c r="J644">
        <v>1</v>
      </c>
    </row>
    <row r="645" spans="1:10" x14ac:dyDescent="0.45">
      <c r="A645" s="9">
        <v>696</v>
      </c>
      <c r="B645" s="9" t="s">
        <v>1999</v>
      </c>
      <c r="C645" s="12">
        <v>0</v>
      </c>
      <c r="D645" s="10">
        <v>1</v>
      </c>
      <c r="E645" s="10">
        <v>0</v>
      </c>
      <c r="F645" s="6">
        <v>0</v>
      </c>
      <c r="G645" s="6">
        <v>1</v>
      </c>
      <c r="H645" s="6">
        <v>0</v>
      </c>
      <c r="I645" s="11">
        <v>0</v>
      </c>
      <c r="J645">
        <v>1</v>
      </c>
    </row>
    <row r="646" spans="1:10" x14ac:dyDescent="0.45">
      <c r="A646" s="9">
        <v>697</v>
      </c>
      <c r="B646" s="9" t="s">
        <v>2000</v>
      </c>
      <c r="C646" s="12">
        <v>0</v>
      </c>
      <c r="D646" s="10">
        <v>1</v>
      </c>
      <c r="E646" s="10">
        <v>0</v>
      </c>
      <c r="F646" s="6">
        <v>0</v>
      </c>
      <c r="G646" s="6">
        <v>2</v>
      </c>
      <c r="H646" s="6">
        <v>0</v>
      </c>
      <c r="I646" s="11">
        <v>0</v>
      </c>
      <c r="J646">
        <v>1</v>
      </c>
    </row>
    <row r="647" spans="1:10" x14ac:dyDescent="0.45">
      <c r="A647" s="9">
        <v>698</v>
      </c>
      <c r="B647" s="9" t="s">
        <v>2001</v>
      </c>
      <c r="C647" s="12">
        <v>0</v>
      </c>
      <c r="D647" s="10">
        <v>1</v>
      </c>
      <c r="E647" s="10">
        <v>0</v>
      </c>
      <c r="F647" s="6">
        <v>0</v>
      </c>
      <c r="G647" s="6">
        <v>1</v>
      </c>
      <c r="H647" s="6">
        <v>0</v>
      </c>
      <c r="I647" s="11">
        <v>0</v>
      </c>
      <c r="J647">
        <v>1</v>
      </c>
    </row>
    <row r="648" spans="1:10" x14ac:dyDescent="0.45">
      <c r="A648" s="9">
        <v>699</v>
      </c>
      <c r="B648" s="9" t="s">
        <v>2002</v>
      </c>
      <c r="C648" s="12">
        <v>0</v>
      </c>
      <c r="D648" s="10">
        <v>1</v>
      </c>
      <c r="E648" s="10">
        <v>0</v>
      </c>
      <c r="F648" s="6">
        <v>0</v>
      </c>
      <c r="G648" s="6">
        <v>24</v>
      </c>
      <c r="H648" s="6">
        <v>0</v>
      </c>
      <c r="I648" s="11">
        <v>0.35</v>
      </c>
      <c r="J648">
        <v>1</v>
      </c>
    </row>
    <row r="649" spans="1:10" x14ac:dyDescent="0.45">
      <c r="A649" s="9">
        <v>700</v>
      </c>
      <c r="B649" s="9" t="s">
        <v>2003</v>
      </c>
      <c r="C649" s="12">
        <v>0</v>
      </c>
      <c r="D649" s="10">
        <v>1</v>
      </c>
      <c r="E649" s="10">
        <v>0</v>
      </c>
      <c r="F649" s="6">
        <v>0</v>
      </c>
      <c r="G649" s="6">
        <v>1</v>
      </c>
      <c r="H649" s="6">
        <v>0</v>
      </c>
      <c r="I649" s="11">
        <v>0</v>
      </c>
      <c r="J649">
        <v>1</v>
      </c>
    </row>
    <row r="650" spans="1:10" x14ac:dyDescent="0.45">
      <c r="A650" s="9">
        <v>701</v>
      </c>
      <c r="B650" s="9" t="s">
        <v>2004</v>
      </c>
      <c r="C650" s="12">
        <v>0</v>
      </c>
      <c r="D650" s="10">
        <v>1</v>
      </c>
      <c r="E650" s="10">
        <v>0</v>
      </c>
      <c r="F650" s="6">
        <v>0</v>
      </c>
      <c r="G650" s="6">
        <v>2</v>
      </c>
      <c r="H650" s="6">
        <v>0</v>
      </c>
      <c r="I650" s="11">
        <v>0</v>
      </c>
      <c r="J650">
        <v>1</v>
      </c>
    </row>
    <row r="651" spans="1:10" x14ac:dyDescent="0.45">
      <c r="A651" s="9">
        <v>702</v>
      </c>
      <c r="B651" s="9" t="s">
        <v>2005</v>
      </c>
      <c r="C651" s="12">
        <v>0.15</v>
      </c>
      <c r="D651" s="10">
        <v>0</v>
      </c>
      <c r="E651" s="10">
        <v>1</v>
      </c>
      <c r="F651" s="6">
        <v>0</v>
      </c>
      <c r="G651" s="6">
        <v>2</v>
      </c>
      <c r="H651" s="6">
        <v>0</v>
      </c>
      <c r="I651" s="11">
        <v>0.2</v>
      </c>
      <c r="J651">
        <v>1</v>
      </c>
    </row>
    <row r="652" spans="1:10" x14ac:dyDescent="0.45">
      <c r="A652" s="9">
        <v>703</v>
      </c>
      <c r="B652" s="9" t="s">
        <v>2006</v>
      </c>
      <c r="C652" s="12">
        <v>0.15</v>
      </c>
      <c r="D652" s="10">
        <v>0</v>
      </c>
      <c r="E652" s="10">
        <v>0</v>
      </c>
      <c r="F652" s="6">
        <v>0</v>
      </c>
      <c r="G652" s="6">
        <v>3</v>
      </c>
      <c r="H652" s="6">
        <v>0</v>
      </c>
      <c r="I652" s="11">
        <v>0.05</v>
      </c>
      <c r="J652">
        <v>1</v>
      </c>
    </row>
    <row r="653" spans="1:10" x14ac:dyDescent="0.45">
      <c r="A653" s="9">
        <v>704</v>
      </c>
      <c r="B653" s="9" t="s">
        <v>2007</v>
      </c>
      <c r="C653" s="12">
        <v>0.15</v>
      </c>
      <c r="D653" s="10">
        <v>0</v>
      </c>
      <c r="E653" s="10">
        <v>0</v>
      </c>
      <c r="F653" s="6">
        <v>0</v>
      </c>
      <c r="G653" s="6">
        <v>7</v>
      </c>
      <c r="H653" s="6">
        <v>0</v>
      </c>
      <c r="I653" s="11">
        <v>0.2</v>
      </c>
      <c r="J653">
        <v>1</v>
      </c>
    </row>
    <row r="654" spans="1:10" x14ac:dyDescent="0.45">
      <c r="A654" s="9">
        <v>705</v>
      </c>
      <c r="B654" s="9" t="s">
        <v>2008</v>
      </c>
      <c r="C654" s="12">
        <v>0.15</v>
      </c>
      <c r="D654" s="10">
        <v>0</v>
      </c>
      <c r="E654" s="10">
        <v>0</v>
      </c>
      <c r="F654" s="6">
        <v>0</v>
      </c>
      <c r="G654" s="6">
        <v>24</v>
      </c>
      <c r="H654" s="6">
        <v>0</v>
      </c>
      <c r="I654" s="11">
        <v>0</v>
      </c>
      <c r="J654">
        <v>1</v>
      </c>
    </row>
    <row r="655" spans="1:10" x14ac:dyDescent="0.45">
      <c r="A655" s="9">
        <v>706</v>
      </c>
      <c r="B655" s="9" t="s">
        <v>2009</v>
      </c>
      <c r="C655" s="12">
        <v>0.15</v>
      </c>
      <c r="D655" s="10">
        <v>0</v>
      </c>
      <c r="E655" s="10">
        <v>0</v>
      </c>
      <c r="F655" s="6">
        <v>0</v>
      </c>
      <c r="G655" s="6">
        <v>24</v>
      </c>
      <c r="H655" s="6">
        <v>0</v>
      </c>
      <c r="I655" s="11">
        <v>0</v>
      </c>
      <c r="J655">
        <v>1</v>
      </c>
    </row>
    <row r="656" spans="1:10" x14ac:dyDescent="0.45">
      <c r="A656" s="9">
        <v>707</v>
      </c>
      <c r="B656" s="9" t="s">
        <v>2010</v>
      </c>
      <c r="C656" s="12">
        <v>0.15</v>
      </c>
      <c r="D656" s="10">
        <v>0</v>
      </c>
      <c r="E656" s="10">
        <v>0</v>
      </c>
      <c r="F656" s="6">
        <v>0</v>
      </c>
      <c r="G656" s="6">
        <v>24</v>
      </c>
      <c r="H656" s="6">
        <v>0</v>
      </c>
      <c r="I656" s="11">
        <v>0.2</v>
      </c>
      <c r="J656">
        <v>1</v>
      </c>
    </row>
    <row r="657" spans="1:10" x14ac:dyDescent="0.45">
      <c r="A657" s="9">
        <v>708</v>
      </c>
      <c r="B657" s="9" t="s">
        <v>2011</v>
      </c>
      <c r="C657" s="12">
        <v>0.15</v>
      </c>
      <c r="D657" s="10">
        <v>0</v>
      </c>
      <c r="E657" s="10">
        <v>0</v>
      </c>
      <c r="F657" s="6">
        <v>0</v>
      </c>
      <c r="G657" s="6">
        <v>24</v>
      </c>
      <c r="H657" s="6">
        <v>0</v>
      </c>
      <c r="I657" s="11">
        <v>0</v>
      </c>
      <c r="J657">
        <v>1</v>
      </c>
    </row>
    <row r="658" spans="1:10" x14ac:dyDescent="0.45">
      <c r="A658" s="9">
        <v>709</v>
      </c>
      <c r="B658" s="9" t="s">
        <v>2012</v>
      </c>
      <c r="C658" s="12">
        <v>0.15</v>
      </c>
      <c r="D658" s="10">
        <v>0</v>
      </c>
      <c r="E658" s="10">
        <v>0</v>
      </c>
      <c r="F658" s="6">
        <v>0</v>
      </c>
      <c r="G658" s="6">
        <v>24</v>
      </c>
      <c r="H658" s="6">
        <v>0</v>
      </c>
      <c r="I658" s="11">
        <v>0</v>
      </c>
      <c r="J658">
        <v>1</v>
      </c>
    </row>
    <row r="659" spans="1:10" x14ac:dyDescent="0.45">
      <c r="A659" s="9">
        <v>710</v>
      </c>
      <c r="B659" s="9" t="s">
        <v>2013</v>
      </c>
      <c r="C659" s="12">
        <v>0</v>
      </c>
      <c r="D659" s="10">
        <v>1</v>
      </c>
      <c r="E659" s="10">
        <v>0</v>
      </c>
      <c r="F659" s="6">
        <v>0</v>
      </c>
      <c r="G659" s="6">
        <v>24</v>
      </c>
      <c r="H659" s="6">
        <v>0</v>
      </c>
      <c r="I659" s="11">
        <v>0</v>
      </c>
      <c r="J659">
        <v>1</v>
      </c>
    </row>
    <row r="660" spans="1:10" x14ac:dyDescent="0.45">
      <c r="A660" s="9">
        <v>711</v>
      </c>
      <c r="B660" s="9" t="s">
        <v>2014</v>
      </c>
      <c r="C660" s="12">
        <v>0.15</v>
      </c>
      <c r="D660" s="10">
        <v>0</v>
      </c>
      <c r="E660" s="10">
        <v>0</v>
      </c>
      <c r="F660" s="6">
        <v>0</v>
      </c>
      <c r="G660" s="6">
        <v>24</v>
      </c>
      <c r="H660" s="6">
        <v>0</v>
      </c>
      <c r="I660" s="11">
        <v>0</v>
      </c>
      <c r="J660">
        <v>1</v>
      </c>
    </row>
    <row r="661" spans="1:10" x14ac:dyDescent="0.45">
      <c r="A661" s="9">
        <v>712</v>
      </c>
      <c r="B661" s="9" t="s">
        <v>2015</v>
      </c>
      <c r="C661" s="12">
        <v>0</v>
      </c>
      <c r="D661" s="10">
        <v>1</v>
      </c>
      <c r="E661" s="10">
        <v>0</v>
      </c>
      <c r="F661" s="6">
        <v>0</v>
      </c>
      <c r="G661" s="6">
        <v>24</v>
      </c>
      <c r="H661" s="6">
        <v>0</v>
      </c>
      <c r="I661" s="11">
        <v>0</v>
      </c>
      <c r="J661">
        <v>1</v>
      </c>
    </row>
    <row r="662" spans="1:10" x14ac:dyDescent="0.45">
      <c r="A662" s="9">
        <v>713</v>
      </c>
      <c r="B662" s="9" t="s">
        <v>2016</v>
      </c>
      <c r="C662" s="12">
        <v>0.15</v>
      </c>
      <c r="D662" s="10">
        <v>0</v>
      </c>
      <c r="E662" s="10">
        <v>0</v>
      </c>
      <c r="F662" s="6">
        <v>0</v>
      </c>
      <c r="G662" s="6">
        <v>24</v>
      </c>
      <c r="H662" s="6">
        <v>0</v>
      </c>
      <c r="I662" s="11">
        <v>0</v>
      </c>
      <c r="J662">
        <v>1</v>
      </c>
    </row>
    <row r="663" spans="1:10" x14ac:dyDescent="0.45">
      <c r="A663" s="9">
        <v>714</v>
      </c>
      <c r="B663" s="9" t="s">
        <v>2017</v>
      </c>
      <c r="C663" s="12">
        <v>0.15</v>
      </c>
      <c r="D663" s="10">
        <v>0</v>
      </c>
      <c r="E663" s="10">
        <v>0</v>
      </c>
      <c r="F663" s="6">
        <v>0</v>
      </c>
      <c r="G663" s="6">
        <v>24</v>
      </c>
      <c r="H663" s="6">
        <v>0</v>
      </c>
      <c r="I663" s="11">
        <v>0</v>
      </c>
      <c r="J663">
        <v>1</v>
      </c>
    </row>
    <row r="664" spans="1:10" x14ac:dyDescent="0.45">
      <c r="A664" s="9">
        <v>715</v>
      </c>
      <c r="B664" s="9" t="s">
        <v>2018</v>
      </c>
      <c r="C664" s="12">
        <v>0.15</v>
      </c>
      <c r="D664" s="10">
        <v>0</v>
      </c>
      <c r="E664" s="10">
        <v>0</v>
      </c>
      <c r="F664" s="6">
        <v>0</v>
      </c>
      <c r="G664" s="6">
        <v>24</v>
      </c>
      <c r="H664" s="6">
        <v>0</v>
      </c>
      <c r="I664" s="11">
        <v>0.2</v>
      </c>
      <c r="J664">
        <v>1</v>
      </c>
    </row>
    <row r="665" spans="1:10" x14ac:dyDescent="0.45">
      <c r="A665" s="9">
        <v>716</v>
      </c>
      <c r="B665" s="9" t="s">
        <v>2019</v>
      </c>
      <c r="C665" s="12">
        <v>0</v>
      </c>
      <c r="D665" s="10">
        <v>1</v>
      </c>
      <c r="E665" s="10">
        <v>0</v>
      </c>
      <c r="F665" s="6">
        <v>0</v>
      </c>
      <c r="G665" s="6">
        <v>2</v>
      </c>
      <c r="H665" s="6">
        <v>0</v>
      </c>
      <c r="I665" s="11">
        <v>0</v>
      </c>
      <c r="J665">
        <v>1</v>
      </c>
    </row>
    <row r="666" spans="1:10" x14ac:dyDescent="0.45">
      <c r="A666" s="9">
        <v>717</v>
      </c>
      <c r="B666" s="9" t="s">
        <v>2020</v>
      </c>
      <c r="C666" s="12">
        <v>0</v>
      </c>
      <c r="D666" s="10">
        <v>1</v>
      </c>
      <c r="E666" s="10">
        <v>1</v>
      </c>
      <c r="F666" s="6">
        <v>0</v>
      </c>
      <c r="G666" s="6">
        <v>24</v>
      </c>
      <c r="H666" s="6">
        <v>0</v>
      </c>
      <c r="I666" s="11">
        <v>0.2</v>
      </c>
      <c r="J666">
        <v>1</v>
      </c>
    </row>
    <row r="667" spans="1:10" x14ac:dyDescent="0.45">
      <c r="A667" s="9">
        <v>718</v>
      </c>
      <c r="B667" s="9" t="s">
        <v>2021</v>
      </c>
      <c r="C667" s="12">
        <v>0.15</v>
      </c>
      <c r="D667" s="10">
        <v>0</v>
      </c>
      <c r="E667" s="10">
        <v>0</v>
      </c>
      <c r="F667" s="6">
        <v>0</v>
      </c>
      <c r="G667" s="6">
        <v>24</v>
      </c>
      <c r="H667" s="6">
        <v>0</v>
      </c>
      <c r="I667" s="11">
        <v>0.2</v>
      </c>
      <c r="J667">
        <v>1</v>
      </c>
    </row>
    <row r="668" spans="1:10" x14ac:dyDescent="0.45">
      <c r="A668" s="9">
        <v>719</v>
      </c>
      <c r="B668" s="9" t="s">
        <v>2022</v>
      </c>
      <c r="C668" s="12">
        <v>0</v>
      </c>
      <c r="D668" s="10">
        <v>1</v>
      </c>
      <c r="E668" s="10">
        <v>0</v>
      </c>
      <c r="F668" s="6">
        <v>0</v>
      </c>
      <c r="G668" s="6">
        <v>1</v>
      </c>
      <c r="H668" s="6">
        <v>0</v>
      </c>
      <c r="I668" s="11">
        <v>0.2</v>
      </c>
      <c r="J668">
        <v>1</v>
      </c>
    </row>
    <row r="669" spans="1:10" x14ac:dyDescent="0.45">
      <c r="A669" s="9">
        <v>720</v>
      </c>
      <c r="B669" s="9" t="s">
        <v>2023</v>
      </c>
      <c r="C669" s="12">
        <v>0</v>
      </c>
      <c r="D669" s="10">
        <v>1</v>
      </c>
      <c r="E669" s="10">
        <v>0</v>
      </c>
      <c r="F669" s="6">
        <v>0</v>
      </c>
      <c r="G669" s="6">
        <v>24</v>
      </c>
      <c r="H669" s="6">
        <v>0</v>
      </c>
      <c r="I669" s="11">
        <v>0</v>
      </c>
      <c r="J669">
        <v>1</v>
      </c>
    </row>
    <row r="670" spans="1:10" x14ac:dyDescent="0.45">
      <c r="A670" s="9">
        <v>721</v>
      </c>
      <c r="B670" s="9" t="s">
        <v>2024</v>
      </c>
      <c r="C670" s="12">
        <v>0</v>
      </c>
      <c r="D670" s="10">
        <v>1</v>
      </c>
      <c r="E670" s="10">
        <v>0</v>
      </c>
      <c r="F670" s="6">
        <v>0</v>
      </c>
      <c r="G670" s="6">
        <v>24</v>
      </c>
      <c r="H670" s="6">
        <v>0</v>
      </c>
      <c r="I670" s="11">
        <v>0</v>
      </c>
      <c r="J670">
        <v>1</v>
      </c>
    </row>
    <row r="671" spans="1:10" x14ac:dyDescent="0.45">
      <c r="A671" s="9">
        <v>722</v>
      </c>
      <c r="B671" s="9" t="s">
        <v>2025</v>
      </c>
      <c r="C671" s="12">
        <v>0.15</v>
      </c>
      <c r="D671" s="10">
        <v>0</v>
      </c>
      <c r="E671" s="10">
        <v>1</v>
      </c>
      <c r="F671" s="6">
        <v>0</v>
      </c>
      <c r="G671" s="6">
        <v>24</v>
      </c>
      <c r="H671" s="6">
        <v>0</v>
      </c>
      <c r="I671" s="11">
        <v>0.35</v>
      </c>
      <c r="J671">
        <v>1</v>
      </c>
    </row>
    <row r="672" spans="1:10" x14ac:dyDescent="0.45">
      <c r="A672" s="9">
        <v>723</v>
      </c>
      <c r="B672" s="9" t="s">
        <v>2026</v>
      </c>
      <c r="C672" s="12">
        <v>0.15</v>
      </c>
      <c r="D672" s="10">
        <v>0</v>
      </c>
      <c r="E672" s="10">
        <v>0</v>
      </c>
      <c r="F672" s="6">
        <v>0</v>
      </c>
      <c r="G672" s="6">
        <v>24</v>
      </c>
      <c r="H672" s="6">
        <v>0</v>
      </c>
      <c r="I672" s="11">
        <v>0</v>
      </c>
      <c r="J672">
        <v>1</v>
      </c>
    </row>
    <row r="673" spans="1:10" x14ac:dyDescent="0.45">
      <c r="A673" s="9">
        <v>724</v>
      </c>
      <c r="B673" s="9" t="s">
        <v>2027</v>
      </c>
      <c r="C673" s="12">
        <v>0</v>
      </c>
      <c r="D673" s="10">
        <v>1</v>
      </c>
      <c r="E673" s="10">
        <v>0</v>
      </c>
      <c r="F673" s="6">
        <v>0</v>
      </c>
      <c r="G673" s="6">
        <v>24</v>
      </c>
      <c r="H673" s="6">
        <v>0</v>
      </c>
      <c r="I673" s="11">
        <v>0</v>
      </c>
      <c r="J673">
        <v>1</v>
      </c>
    </row>
    <row r="674" spans="1:10" x14ac:dyDescent="0.45">
      <c r="A674" s="9">
        <v>725</v>
      </c>
      <c r="B674" s="9" t="s">
        <v>2028</v>
      </c>
      <c r="C674" s="12">
        <v>0</v>
      </c>
      <c r="D674" s="10">
        <v>1</v>
      </c>
      <c r="E674" s="10">
        <v>0</v>
      </c>
      <c r="F674" s="6">
        <v>0</v>
      </c>
      <c r="G674" s="6">
        <v>1</v>
      </c>
      <c r="H674" s="6">
        <v>0</v>
      </c>
      <c r="I674" s="11">
        <v>0</v>
      </c>
      <c r="J674">
        <v>1</v>
      </c>
    </row>
    <row r="675" spans="1:10" x14ac:dyDescent="0.45">
      <c r="A675" s="9">
        <v>726</v>
      </c>
      <c r="B675" s="9" t="s">
        <v>2029</v>
      </c>
      <c r="C675" s="12">
        <v>0.15</v>
      </c>
      <c r="D675" s="10">
        <v>0</v>
      </c>
      <c r="E675" s="10">
        <v>0</v>
      </c>
      <c r="F675" s="6">
        <v>0</v>
      </c>
      <c r="G675" s="6">
        <v>23</v>
      </c>
      <c r="H675" s="6">
        <v>0</v>
      </c>
      <c r="I675" s="11">
        <v>0</v>
      </c>
      <c r="J675">
        <v>1</v>
      </c>
    </row>
    <row r="676" spans="1:10" x14ac:dyDescent="0.45">
      <c r="A676" s="9">
        <v>727</v>
      </c>
      <c r="B676" s="9" t="s">
        <v>2030</v>
      </c>
      <c r="C676" s="12">
        <v>0.15</v>
      </c>
      <c r="D676" s="10">
        <v>0</v>
      </c>
      <c r="E676" s="10">
        <v>0</v>
      </c>
      <c r="F676" s="6">
        <v>0</v>
      </c>
      <c r="G676" s="6">
        <v>23</v>
      </c>
      <c r="H676" s="6">
        <v>0</v>
      </c>
      <c r="I676" s="11">
        <v>0</v>
      </c>
      <c r="J676">
        <v>1</v>
      </c>
    </row>
    <row r="677" spans="1:10" x14ac:dyDescent="0.45">
      <c r="A677" s="9">
        <v>728</v>
      </c>
      <c r="B677" s="9" t="s">
        <v>2031</v>
      </c>
      <c r="C677" s="12">
        <v>0</v>
      </c>
      <c r="D677" s="10">
        <v>1</v>
      </c>
      <c r="E677" s="10">
        <v>0</v>
      </c>
      <c r="F677" s="6">
        <v>0</v>
      </c>
      <c r="G677" s="6">
        <v>23</v>
      </c>
      <c r="H677" s="6">
        <v>0</v>
      </c>
      <c r="I677" s="11">
        <v>0</v>
      </c>
      <c r="J677">
        <v>1</v>
      </c>
    </row>
    <row r="678" spans="1:10" x14ac:dyDescent="0.45">
      <c r="A678" s="9">
        <v>729</v>
      </c>
      <c r="B678" s="9" t="s">
        <v>2032</v>
      </c>
      <c r="C678" s="12">
        <v>0</v>
      </c>
      <c r="D678" s="10">
        <v>1</v>
      </c>
      <c r="E678" s="10">
        <v>0</v>
      </c>
      <c r="F678" s="6">
        <v>0</v>
      </c>
      <c r="G678" s="6">
        <v>6</v>
      </c>
      <c r="H678" s="6">
        <v>0</v>
      </c>
      <c r="I678" s="11">
        <v>0</v>
      </c>
      <c r="J678">
        <v>1</v>
      </c>
    </row>
    <row r="679" spans="1:10" x14ac:dyDescent="0.45">
      <c r="A679" s="9">
        <v>730</v>
      </c>
      <c r="B679" s="9" t="s">
        <v>2033</v>
      </c>
      <c r="C679" s="12">
        <v>0.15</v>
      </c>
      <c r="D679" s="10">
        <v>0</v>
      </c>
      <c r="E679" s="10">
        <v>0</v>
      </c>
      <c r="F679" s="6">
        <v>0</v>
      </c>
      <c r="G679" s="6">
        <v>7</v>
      </c>
      <c r="H679" s="6">
        <v>0</v>
      </c>
      <c r="I679" s="11">
        <v>0</v>
      </c>
      <c r="J679">
        <v>1</v>
      </c>
    </row>
    <row r="680" spans="1:10" x14ac:dyDescent="0.45">
      <c r="A680" s="9">
        <v>731</v>
      </c>
      <c r="B680" s="9" t="s">
        <v>2034</v>
      </c>
      <c r="C680" s="12">
        <v>0.15</v>
      </c>
      <c r="D680" s="10">
        <v>0</v>
      </c>
      <c r="E680" s="10">
        <v>0</v>
      </c>
      <c r="F680" s="6">
        <v>0</v>
      </c>
      <c r="G680" s="6">
        <v>12</v>
      </c>
      <c r="H680" s="6">
        <v>0</v>
      </c>
      <c r="I680" s="11">
        <v>0.2</v>
      </c>
      <c r="J680">
        <v>1</v>
      </c>
    </row>
    <row r="681" spans="1:10" x14ac:dyDescent="0.45">
      <c r="A681" s="9">
        <v>732</v>
      </c>
      <c r="B681" s="9" t="s">
        <v>2035</v>
      </c>
      <c r="C681" s="12">
        <v>0.15</v>
      </c>
      <c r="D681" s="10">
        <v>0</v>
      </c>
      <c r="E681" s="10">
        <v>0</v>
      </c>
      <c r="F681" s="6">
        <v>0</v>
      </c>
      <c r="G681" s="6">
        <v>12</v>
      </c>
      <c r="H681" s="6">
        <v>0</v>
      </c>
      <c r="I681" s="11">
        <v>0</v>
      </c>
      <c r="J681">
        <v>1</v>
      </c>
    </row>
    <row r="682" spans="1:10" x14ac:dyDescent="0.45">
      <c r="A682" s="9">
        <v>733</v>
      </c>
      <c r="B682" s="9" t="s">
        <v>2036</v>
      </c>
      <c r="C682" s="12">
        <v>0</v>
      </c>
      <c r="D682" s="10">
        <v>1</v>
      </c>
      <c r="E682" s="10">
        <v>0</v>
      </c>
      <c r="F682" s="6">
        <v>0</v>
      </c>
      <c r="G682" s="6">
        <v>1</v>
      </c>
      <c r="H682" s="6">
        <v>0</v>
      </c>
      <c r="I682" s="11">
        <v>0</v>
      </c>
      <c r="J682">
        <v>1</v>
      </c>
    </row>
    <row r="683" spans="1:10" x14ac:dyDescent="0.45">
      <c r="A683" s="9">
        <v>734</v>
      </c>
      <c r="B683" s="9" t="s">
        <v>2037</v>
      </c>
      <c r="C683" s="12">
        <v>0.15</v>
      </c>
      <c r="D683" s="10">
        <v>0</v>
      </c>
      <c r="E683" s="10">
        <v>0</v>
      </c>
      <c r="F683" s="6">
        <v>0</v>
      </c>
      <c r="G683" s="6">
        <v>29</v>
      </c>
      <c r="H683" s="6">
        <v>0</v>
      </c>
      <c r="I683" s="11">
        <v>0</v>
      </c>
      <c r="J683">
        <v>1</v>
      </c>
    </row>
    <row r="684" spans="1:10" x14ac:dyDescent="0.45">
      <c r="A684" s="9">
        <v>735</v>
      </c>
      <c r="B684" s="9" t="s">
        <v>2038</v>
      </c>
      <c r="C684" s="12">
        <v>0</v>
      </c>
      <c r="D684" s="10">
        <v>1</v>
      </c>
      <c r="E684" s="10">
        <v>0</v>
      </c>
      <c r="F684" s="6">
        <v>0</v>
      </c>
      <c r="G684" s="6">
        <v>29</v>
      </c>
      <c r="H684" s="6">
        <v>0</v>
      </c>
      <c r="I684" s="11">
        <v>0</v>
      </c>
      <c r="J684">
        <v>1</v>
      </c>
    </row>
    <row r="685" spans="1:10" x14ac:dyDescent="0.45">
      <c r="A685" s="9">
        <v>736</v>
      </c>
      <c r="B685" s="9" t="s">
        <v>2039</v>
      </c>
      <c r="C685" s="12">
        <v>0.15</v>
      </c>
      <c r="D685" s="10">
        <v>0</v>
      </c>
      <c r="E685" s="10">
        <v>0</v>
      </c>
      <c r="F685" s="6">
        <v>0</v>
      </c>
      <c r="G685" s="6">
        <v>29</v>
      </c>
      <c r="H685" s="6">
        <v>0</v>
      </c>
      <c r="I685" s="11">
        <v>0</v>
      </c>
      <c r="J685">
        <v>1</v>
      </c>
    </row>
    <row r="686" spans="1:10" x14ac:dyDescent="0.45">
      <c r="A686" s="9">
        <v>737</v>
      </c>
      <c r="B686" s="9" t="s">
        <v>2040</v>
      </c>
      <c r="C686" s="12">
        <v>0.15</v>
      </c>
      <c r="D686" s="10">
        <v>0</v>
      </c>
      <c r="E686" s="10">
        <v>0</v>
      </c>
      <c r="F686" s="6">
        <v>0</v>
      </c>
      <c r="G686" s="6">
        <v>29</v>
      </c>
      <c r="H686" s="6">
        <v>0</v>
      </c>
      <c r="I686" s="11">
        <v>0</v>
      </c>
      <c r="J686">
        <v>1</v>
      </c>
    </row>
    <row r="687" spans="1:10" x14ac:dyDescent="0.45">
      <c r="A687" s="9">
        <v>738</v>
      </c>
      <c r="B687" s="9" t="s">
        <v>2041</v>
      </c>
      <c r="C687" s="12">
        <v>0.15</v>
      </c>
      <c r="D687" s="10">
        <v>0</v>
      </c>
      <c r="E687" s="10">
        <v>0</v>
      </c>
      <c r="F687" s="6">
        <v>0</v>
      </c>
      <c r="G687" s="6">
        <v>29</v>
      </c>
      <c r="H687" s="6">
        <v>0</v>
      </c>
      <c r="I687" s="11">
        <v>0</v>
      </c>
      <c r="J687">
        <v>1</v>
      </c>
    </row>
    <row r="688" spans="1:10" x14ac:dyDescent="0.45">
      <c r="A688" s="9">
        <v>739</v>
      </c>
      <c r="B688" s="9" t="s">
        <v>2042</v>
      </c>
      <c r="C688" s="12">
        <v>0.15</v>
      </c>
      <c r="D688" s="10">
        <v>0</v>
      </c>
      <c r="E688" s="10">
        <v>0</v>
      </c>
      <c r="F688" s="6">
        <v>0</v>
      </c>
      <c r="G688" s="6">
        <v>29</v>
      </c>
      <c r="H688" s="6">
        <v>0</v>
      </c>
      <c r="I688" s="11">
        <v>0</v>
      </c>
      <c r="J688">
        <v>1</v>
      </c>
    </row>
    <row r="689" spans="1:10" x14ac:dyDescent="0.45">
      <c r="A689" s="9">
        <v>740</v>
      </c>
      <c r="B689" s="9" t="s">
        <v>2043</v>
      </c>
      <c r="C689" s="12">
        <v>0.15</v>
      </c>
      <c r="D689" s="10">
        <v>0</v>
      </c>
      <c r="E689" s="10">
        <v>0</v>
      </c>
      <c r="F689" s="6">
        <v>0</v>
      </c>
      <c r="G689" s="6">
        <v>29</v>
      </c>
      <c r="H689" s="6">
        <v>0</v>
      </c>
      <c r="I689" s="11">
        <v>0</v>
      </c>
      <c r="J689">
        <v>1</v>
      </c>
    </row>
    <row r="690" spans="1:10" x14ac:dyDescent="0.45">
      <c r="A690" s="9">
        <v>741</v>
      </c>
      <c r="B690" s="9" t="s">
        <v>2044</v>
      </c>
      <c r="C690" s="12">
        <v>0.15</v>
      </c>
      <c r="D690" s="10">
        <v>0</v>
      </c>
      <c r="E690" s="10">
        <v>0</v>
      </c>
      <c r="F690" s="6">
        <v>0</v>
      </c>
      <c r="G690" s="6">
        <v>29</v>
      </c>
      <c r="H690" s="6">
        <v>0</v>
      </c>
      <c r="I690" s="11">
        <v>0</v>
      </c>
      <c r="J690">
        <v>1</v>
      </c>
    </row>
    <row r="691" spans="1:10" x14ac:dyDescent="0.45">
      <c r="A691" s="9">
        <v>742</v>
      </c>
      <c r="B691" s="9" t="s">
        <v>2045</v>
      </c>
      <c r="C691" s="12">
        <v>0.15</v>
      </c>
      <c r="D691" s="10">
        <v>0</v>
      </c>
      <c r="E691" s="10">
        <v>0</v>
      </c>
      <c r="F691" s="6">
        <v>0</v>
      </c>
      <c r="G691" s="6">
        <v>29</v>
      </c>
      <c r="H691" s="6">
        <v>0</v>
      </c>
      <c r="I691" s="11">
        <v>0</v>
      </c>
      <c r="J691">
        <v>1</v>
      </c>
    </row>
    <row r="692" spans="1:10" x14ac:dyDescent="0.45">
      <c r="A692" s="9">
        <v>743</v>
      </c>
      <c r="B692" s="9" t="s">
        <v>2046</v>
      </c>
      <c r="C692" s="12">
        <v>0.15</v>
      </c>
      <c r="D692" s="10">
        <v>0</v>
      </c>
      <c r="E692" s="10">
        <v>0</v>
      </c>
      <c r="F692" s="6">
        <v>0</v>
      </c>
      <c r="G692" s="6">
        <v>29</v>
      </c>
      <c r="H692" s="6">
        <v>0</v>
      </c>
      <c r="I692" s="11">
        <v>0</v>
      </c>
      <c r="J692">
        <v>1</v>
      </c>
    </row>
    <row r="693" spans="1:10" x14ac:dyDescent="0.45">
      <c r="A693" s="9">
        <v>744</v>
      </c>
      <c r="B693" s="9" t="s">
        <v>2047</v>
      </c>
      <c r="C693" s="12">
        <v>0</v>
      </c>
      <c r="D693" s="10">
        <v>1</v>
      </c>
      <c r="E693" s="10">
        <v>0</v>
      </c>
      <c r="F693" s="6">
        <v>0</v>
      </c>
      <c r="G693" s="6">
        <v>1</v>
      </c>
      <c r="H693" s="6">
        <v>0</v>
      </c>
      <c r="I693" s="11">
        <v>0</v>
      </c>
      <c r="J693">
        <v>1</v>
      </c>
    </row>
    <row r="694" spans="1:10" x14ac:dyDescent="0.45">
      <c r="A694" s="9">
        <v>745</v>
      </c>
      <c r="B694" s="9" t="s">
        <v>2048</v>
      </c>
      <c r="C694" s="12">
        <v>0.15</v>
      </c>
      <c r="D694" s="10">
        <v>0</v>
      </c>
      <c r="E694" s="10">
        <v>0</v>
      </c>
      <c r="F694" s="6">
        <v>0</v>
      </c>
      <c r="G694" s="6">
        <v>31</v>
      </c>
      <c r="H694" s="6">
        <v>0</v>
      </c>
      <c r="I694" s="11">
        <v>0</v>
      </c>
      <c r="J694">
        <v>1</v>
      </c>
    </row>
    <row r="695" spans="1:10" x14ac:dyDescent="0.45">
      <c r="A695" s="9">
        <v>746</v>
      </c>
      <c r="B695" s="9" t="s">
        <v>2049</v>
      </c>
      <c r="C695" s="12">
        <v>0</v>
      </c>
      <c r="D695" s="10">
        <v>1</v>
      </c>
      <c r="E695" s="10">
        <v>1</v>
      </c>
      <c r="F695" s="6">
        <v>0</v>
      </c>
      <c r="G695" s="6">
        <v>33</v>
      </c>
      <c r="H695" s="6">
        <v>0</v>
      </c>
      <c r="I695" s="11">
        <v>0.2</v>
      </c>
      <c r="J695">
        <v>1</v>
      </c>
    </row>
    <row r="696" spans="1:10" x14ac:dyDescent="0.45">
      <c r="A696" s="9">
        <v>747</v>
      </c>
      <c r="B696" s="9" t="s">
        <v>2050</v>
      </c>
      <c r="C696" s="12">
        <v>0</v>
      </c>
      <c r="D696" s="10">
        <v>1</v>
      </c>
      <c r="E696" s="10">
        <v>1</v>
      </c>
      <c r="F696" s="6">
        <v>0</v>
      </c>
      <c r="G696" s="6">
        <v>33</v>
      </c>
      <c r="H696" s="6">
        <v>0</v>
      </c>
      <c r="I696" s="11">
        <v>0.2</v>
      </c>
      <c r="J696">
        <v>1</v>
      </c>
    </row>
    <row r="697" spans="1:10" x14ac:dyDescent="0.45">
      <c r="A697" s="9">
        <v>748</v>
      </c>
      <c r="B697" s="9" t="s">
        <v>2051</v>
      </c>
      <c r="C697" s="12">
        <v>0</v>
      </c>
      <c r="D697" s="10">
        <v>1</v>
      </c>
      <c r="E697" s="10">
        <v>1</v>
      </c>
      <c r="F697" s="6">
        <v>0</v>
      </c>
      <c r="G697" s="6">
        <v>33</v>
      </c>
      <c r="H697" s="6">
        <v>0</v>
      </c>
      <c r="I697" s="11">
        <v>0.2</v>
      </c>
      <c r="J697">
        <v>1</v>
      </c>
    </row>
    <row r="698" spans="1:10" x14ac:dyDescent="0.45">
      <c r="A698" s="9">
        <v>749</v>
      </c>
      <c r="B698" s="9" t="s">
        <v>2052</v>
      </c>
      <c r="C698" s="12">
        <v>0.15</v>
      </c>
      <c r="D698" s="10">
        <v>0</v>
      </c>
      <c r="E698" s="10">
        <v>1</v>
      </c>
      <c r="F698" s="6">
        <v>0</v>
      </c>
      <c r="G698" s="6">
        <v>24</v>
      </c>
      <c r="H698" s="6">
        <v>0</v>
      </c>
      <c r="I698" s="11">
        <v>0.2</v>
      </c>
      <c r="J698">
        <v>1</v>
      </c>
    </row>
    <row r="699" spans="1:10" x14ac:dyDescent="0.45">
      <c r="A699" s="9">
        <v>750</v>
      </c>
      <c r="B699" s="9" t="s">
        <v>2053</v>
      </c>
      <c r="C699" s="12">
        <v>0.15</v>
      </c>
      <c r="D699" s="10">
        <v>0</v>
      </c>
      <c r="E699" s="10">
        <v>1</v>
      </c>
      <c r="F699" s="6">
        <v>0</v>
      </c>
      <c r="G699" s="6">
        <v>24</v>
      </c>
      <c r="H699" s="6">
        <v>0</v>
      </c>
      <c r="I699" s="11">
        <v>0.2</v>
      </c>
      <c r="J699">
        <v>1</v>
      </c>
    </row>
    <row r="700" spans="1:10" x14ac:dyDescent="0.45">
      <c r="A700" s="9">
        <v>751</v>
      </c>
      <c r="B700" s="9" t="s">
        <v>2054</v>
      </c>
      <c r="C700" s="12">
        <v>0</v>
      </c>
      <c r="D700" s="10">
        <v>1</v>
      </c>
      <c r="E700" s="10">
        <v>1</v>
      </c>
      <c r="F700" s="6">
        <v>0</v>
      </c>
      <c r="G700" s="6">
        <v>24</v>
      </c>
      <c r="H700" s="6">
        <v>0</v>
      </c>
      <c r="I700" s="11">
        <v>0</v>
      </c>
      <c r="J700">
        <v>1</v>
      </c>
    </row>
    <row r="701" spans="1:10" x14ac:dyDescent="0.45">
      <c r="A701" s="9">
        <v>752</v>
      </c>
      <c r="B701" s="9" t="s">
        <v>2055</v>
      </c>
      <c r="C701" s="12">
        <v>0</v>
      </c>
      <c r="D701" s="10">
        <v>1</v>
      </c>
      <c r="E701" s="10">
        <v>1</v>
      </c>
      <c r="F701" s="6">
        <v>0</v>
      </c>
      <c r="G701" s="6">
        <v>24</v>
      </c>
      <c r="H701" s="6">
        <v>0</v>
      </c>
      <c r="I701" s="11">
        <v>0.2</v>
      </c>
      <c r="J701">
        <v>1</v>
      </c>
    </row>
    <row r="702" spans="1:10" x14ac:dyDescent="0.45">
      <c r="A702" s="9">
        <v>753</v>
      </c>
      <c r="B702" s="9" t="s">
        <v>2056</v>
      </c>
      <c r="C702" s="12">
        <v>0</v>
      </c>
      <c r="D702" s="10">
        <v>1</v>
      </c>
      <c r="E702" s="10">
        <v>1</v>
      </c>
      <c r="F702" s="6">
        <v>0</v>
      </c>
      <c r="G702" s="6">
        <v>24</v>
      </c>
      <c r="H702" s="6">
        <v>0</v>
      </c>
      <c r="I702" s="11">
        <v>0.2</v>
      </c>
      <c r="J702">
        <v>1</v>
      </c>
    </row>
    <row r="703" spans="1:10" x14ac:dyDescent="0.45">
      <c r="A703" s="9">
        <v>754</v>
      </c>
      <c r="B703" s="9" t="s">
        <v>2057</v>
      </c>
      <c r="C703" s="12">
        <v>0.15</v>
      </c>
      <c r="D703" s="10">
        <v>0</v>
      </c>
      <c r="E703" s="10">
        <v>1</v>
      </c>
      <c r="F703" s="6">
        <v>0</v>
      </c>
      <c r="G703" s="6">
        <v>13</v>
      </c>
      <c r="H703" s="6">
        <v>0</v>
      </c>
      <c r="I703" s="11">
        <v>0.1</v>
      </c>
      <c r="J703">
        <v>1</v>
      </c>
    </row>
    <row r="704" spans="1:10" x14ac:dyDescent="0.45">
      <c r="A704" s="9">
        <v>755</v>
      </c>
      <c r="B704" s="9" t="s">
        <v>2058</v>
      </c>
      <c r="C704" s="12">
        <v>0.15</v>
      </c>
      <c r="D704" s="10">
        <v>0</v>
      </c>
      <c r="E704" s="10">
        <v>0</v>
      </c>
      <c r="F704" s="6">
        <v>0</v>
      </c>
      <c r="G704" s="6">
        <v>35</v>
      </c>
      <c r="H704" s="6">
        <v>0</v>
      </c>
      <c r="I704" s="11">
        <v>0</v>
      </c>
      <c r="J704">
        <v>1</v>
      </c>
    </row>
    <row r="705" spans="1:10" x14ac:dyDescent="0.45">
      <c r="A705" s="9">
        <v>756</v>
      </c>
      <c r="B705" s="9" t="s">
        <v>2059</v>
      </c>
      <c r="C705" s="12">
        <v>0.15</v>
      </c>
      <c r="D705" s="10">
        <v>0</v>
      </c>
      <c r="E705" s="10">
        <v>1</v>
      </c>
      <c r="F705" s="6">
        <v>0</v>
      </c>
      <c r="G705" s="6">
        <v>12</v>
      </c>
      <c r="H705" s="6">
        <v>0</v>
      </c>
      <c r="I705" s="11">
        <v>0.2</v>
      </c>
      <c r="J705">
        <v>1</v>
      </c>
    </row>
    <row r="706" spans="1:10" x14ac:dyDescent="0.45">
      <c r="A706" s="9">
        <v>757</v>
      </c>
      <c r="B706" s="9" t="s">
        <v>2060</v>
      </c>
      <c r="C706" s="12">
        <v>0.15</v>
      </c>
      <c r="D706" s="10">
        <v>0</v>
      </c>
      <c r="E706" s="10">
        <v>1</v>
      </c>
      <c r="F706" s="6">
        <v>0</v>
      </c>
      <c r="G706" s="6">
        <v>31</v>
      </c>
      <c r="H706" s="6">
        <v>0</v>
      </c>
      <c r="I706" s="11">
        <v>0.2</v>
      </c>
      <c r="J706">
        <v>1</v>
      </c>
    </row>
    <row r="707" spans="1:10" x14ac:dyDescent="0.45">
      <c r="A707" s="9">
        <v>758</v>
      </c>
      <c r="B707" s="9" t="s">
        <v>2061</v>
      </c>
      <c r="C707" s="12">
        <v>0.15</v>
      </c>
      <c r="D707" s="10">
        <v>0</v>
      </c>
      <c r="E707" s="10">
        <v>1</v>
      </c>
      <c r="F707" s="6">
        <v>0</v>
      </c>
      <c r="G707" s="6">
        <v>24</v>
      </c>
      <c r="H707" s="6">
        <v>0</v>
      </c>
      <c r="I707" s="11">
        <v>0.35</v>
      </c>
      <c r="J707">
        <v>1</v>
      </c>
    </row>
    <row r="708" spans="1:10" x14ac:dyDescent="0.45">
      <c r="A708" s="9">
        <v>759</v>
      </c>
      <c r="B708" s="9" t="s">
        <v>2062</v>
      </c>
      <c r="C708" s="12">
        <v>0.15</v>
      </c>
      <c r="D708" s="10">
        <v>0</v>
      </c>
      <c r="E708" s="10">
        <v>0</v>
      </c>
      <c r="F708" s="6">
        <v>0</v>
      </c>
      <c r="G708" s="6">
        <v>33</v>
      </c>
      <c r="H708" s="6">
        <v>0</v>
      </c>
      <c r="I708" s="11">
        <v>0</v>
      </c>
      <c r="J708">
        <v>1</v>
      </c>
    </row>
    <row r="709" spans="1:10" x14ac:dyDescent="0.45">
      <c r="A709" s="9">
        <v>760</v>
      </c>
      <c r="B709" s="9" t="s">
        <v>2063</v>
      </c>
      <c r="C709" s="12">
        <v>0.15</v>
      </c>
      <c r="D709" s="10">
        <v>0</v>
      </c>
      <c r="E709" s="10">
        <v>0</v>
      </c>
      <c r="F709" s="6">
        <v>0</v>
      </c>
      <c r="G709" s="6">
        <v>10</v>
      </c>
      <c r="H709" s="6">
        <v>0</v>
      </c>
      <c r="I709" s="11">
        <v>0.2</v>
      </c>
      <c r="J709">
        <v>1</v>
      </c>
    </row>
    <row r="710" spans="1:10" x14ac:dyDescent="0.45">
      <c r="A710" s="9">
        <v>761</v>
      </c>
      <c r="B710" s="9" t="s">
        <v>2064</v>
      </c>
      <c r="C710" s="12">
        <v>0.15</v>
      </c>
      <c r="D710" s="10">
        <v>0</v>
      </c>
      <c r="E710" s="10">
        <v>0</v>
      </c>
      <c r="F710" s="6">
        <v>0</v>
      </c>
      <c r="G710" s="6">
        <v>10</v>
      </c>
      <c r="H710" s="6">
        <v>0</v>
      </c>
      <c r="I710" s="11">
        <v>0.2</v>
      </c>
      <c r="J710">
        <v>1</v>
      </c>
    </row>
    <row r="711" spans="1:10" x14ac:dyDescent="0.45">
      <c r="A711" s="9">
        <v>762</v>
      </c>
      <c r="B711" s="9" t="s">
        <v>2065</v>
      </c>
      <c r="C711" s="12">
        <v>0.15</v>
      </c>
      <c r="D711" s="10">
        <v>0</v>
      </c>
      <c r="E711" s="10">
        <v>0</v>
      </c>
      <c r="F711" s="6">
        <v>0</v>
      </c>
      <c r="G711" s="6">
        <v>10</v>
      </c>
      <c r="H711" s="6">
        <v>0</v>
      </c>
      <c r="I711" s="11">
        <v>0</v>
      </c>
      <c r="J711">
        <v>1</v>
      </c>
    </row>
    <row r="712" spans="1:10" x14ac:dyDescent="0.45">
      <c r="A712" s="9">
        <v>763</v>
      </c>
      <c r="B712" s="9" t="s">
        <v>2066</v>
      </c>
      <c r="C712" s="12">
        <v>0.15</v>
      </c>
      <c r="D712" s="10">
        <v>0</v>
      </c>
      <c r="E712" s="10">
        <v>0</v>
      </c>
      <c r="F712" s="6">
        <v>0</v>
      </c>
      <c r="G712" s="6">
        <v>10</v>
      </c>
      <c r="H712" s="6">
        <v>0</v>
      </c>
      <c r="I712" s="11">
        <v>0</v>
      </c>
      <c r="J712">
        <v>1</v>
      </c>
    </row>
    <row r="713" spans="1:10" x14ac:dyDescent="0.45">
      <c r="A713" s="9">
        <v>764</v>
      </c>
      <c r="B713" s="9" t="s">
        <v>2067</v>
      </c>
      <c r="C713" s="12">
        <v>0</v>
      </c>
      <c r="D713" s="10">
        <v>1</v>
      </c>
      <c r="E713" s="10">
        <v>1</v>
      </c>
      <c r="F713" s="6">
        <v>0</v>
      </c>
      <c r="G713" s="6">
        <v>1</v>
      </c>
      <c r="H713" s="6">
        <v>0</v>
      </c>
      <c r="I713" s="11">
        <v>0.2</v>
      </c>
      <c r="J713">
        <v>1</v>
      </c>
    </row>
    <row r="714" spans="1:10" x14ac:dyDescent="0.45">
      <c r="A714" s="9">
        <v>765</v>
      </c>
      <c r="B714" s="9" t="s">
        <v>2068</v>
      </c>
      <c r="C714" s="12">
        <v>0.15</v>
      </c>
      <c r="D714" s="10">
        <v>0</v>
      </c>
      <c r="E714" s="10">
        <v>1</v>
      </c>
      <c r="F714" s="6">
        <v>0</v>
      </c>
      <c r="G714" s="6">
        <v>23</v>
      </c>
      <c r="H714" s="6">
        <v>0</v>
      </c>
      <c r="I714" s="11">
        <v>0.2</v>
      </c>
      <c r="J714">
        <v>1</v>
      </c>
    </row>
    <row r="715" spans="1:10" x14ac:dyDescent="0.45">
      <c r="A715" s="9">
        <v>766</v>
      </c>
      <c r="B715" s="9" t="s">
        <v>2069</v>
      </c>
      <c r="C715" s="12">
        <v>0</v>
      </c>
      <c r="D715" s="10">
        <v>1</v>
      </c>
      <c r="E715" s="10">
        <v>0</v>
      </c>
      <c r="F715" s="6">
        <v>0</v>
      </c>
      <c r="G715" s="6">
        <v>1</v>
      </c>
      <c r="H715" s="6">
        <v>0</v>
      </c>
      <c r="I715" s="11">
        <v>0</v>
      </c>
      <c r="J715">
        <v>1</v>
      </c>
    </row>
    <row r="716" spans="1:10" x14ac:dyDescent="0.45">
      <c r="A716" s="9">
        <v>767</v>
      </c>
      <c r="B716" s="9" t="s">
        <v>2070</v>
      </c>
      <c r="C716" s="12">
        <v>0</v>
      </c>
      <c r="D716" s="10">
        <v>1</v>
      </c>
      <c r="E716" s="10">
        <v>0</v>
      </c>
      <c r="F716" s="6">
        <v>0</v>
      </c>
      <c r="G716" s="6">
        <v>2</v>
      </c>
      <c r="H716" s="6">
        <v>0</v>
      </c>
      <c r="I716" s="11">
        <v>0.35</v>
      </c>
      <c r="J716">
        <v>1</v>
      </c>
    </row>
    <row r="717" spans="1:10" x14ac:dyDescent="0.45">
      <c r="A717" s="9">
        <v>768</v>
      </c>
      <c r="B717" s="9" t="s">
        <v>2071</v>
      </c>
      <c r="C717" s="12">
        <v>0.15</v>
      </c>
      <c r="D717" s="10">
        <v>0</v>
      </c>
      <c r="E717" s="10">
        <v>1</v>
      </c>
      <c r="F717" s="6">
        <v>0</v>
      </c>
      <c r="G717" s="6">
        <v>23</v>
      </c>
      <c r="H717" s="6">
        <v>0</v>
      </c>
      <c r="I717" s="11">
        <v>0</v>
      </c>
      <c r="J717">
        <v>1</v>
      </c>
    </row>
    <row r="718" spans="1:10" x14ac:dyDescent="0.45">
      <c r="A718" s="9">
        <v>769</v>
      </c>
      <c r="B718" s="9" t="s">
        <v>2072</v>
      </c>
      <c r="C718" s="12">
        <v>0.15</v>
      </c>
      <c r="D718" s="10">
        <v>0</v>
      </c>
      <c r="E718" s="10">
        <v>1</v>
      </c>
      <c r="F718" s="6">
        <v>0</v>
      </c>
      <c r="G718" s="6">
        <v>23</v>
      </c>
      <c r="H718" s="6">
        <v>0</v>
      </c>
      <c r="I718" s="11">
        <v>0</v>
      </c>
      <c r="J718">
        <v>1</v>
      </c>
    </row>
    <row r="719" spans="1:10" x14ac:dyDescent="0.45">
      <c r="A719" s="9">
        <v>770</v>
      </c>
      <c r="B719" s="9" t="s">
        <v>2073</v>
      </c>
      <c r="C719" s="12">
        <v>0.15</v>
      </c>
      <c r="D719" s="10">
        <v>0</v>
      </c>
      <c r="E719" s="10">
        <v>1</v>
      </c>
      <c r="F719" s="6">
        <v>0</v>
      </c>
      <c r="G719" s="6">
        <v>23</v>
      </c>
      <c r="H719" s="6">
        <v>0</v>
      </c>
      <c r="I719" s="11">
        <v>0.2</v>
      </c>
      <c r="J719">
        <v>1</v>
      </c>
    </row>
    <row r="720" spans="1:10" x14ac:dyDescent="0.45">
      <c r="A720" s="9">
        <v>771</v>
      </c>
      <c r="B720" s="9" t="s">
        <v>2074</v>
      </c>
      <c r="C720" s="12">
        <v>0.15</v>
      </c>
      <c r="D720" s="10">
        <v>0</v>
      </c>
      <c r="E720" s="10">
        <v>1</v>
      </c>
      <c r="F720" s="6">
        <v>0</v>
      </c>
      <c r="G720" s="6">
        <v>24</v>
      </c>
      <c r="H720" s="6">
        <v>0</v>
      </c>
      <c r="I720" s="11">
        <v>0.2</v>
      </c>
      <c r="J720">
        <v>1</v>
      </c>
    </row>
    <row r="721" spans="1:10" x14ac:dyDescent="0.45">
      <c r="A721" s="9">
        <v>772</v>
      </c>
      <c r="B721" s="9" t="s">
        <v>2075</v>
      </c>
      <c r="C721" s="12">
        <v>0.15</v>
      </c>
      <c r="D721" s="10">
        <v>0</v>
      </c>
      <c r="E721" s="10">
        <v>1</v>
      </c>
      <c r="F721" s="6">
        <v>0</v>
      </c>
      <c r="G721" s="6">
        <v>24</v>
      </c>
      <c r="H721" s="6">
        <v>0</v>
      </c>
      <c r="I721" s="11">
        <v>0.2</v>
      </c>
      <c r="J721">
        <v>1</v>
      </c>
    </row>
    <row r="722" spans="1:10" x14ac:dyDescent="0.45">
      <c r="A722" s="9">
        <v>773</v>
      </c>
      <c r="B722" s="9" t="s">
        <v>2076</v>
      </c>
      <c r="C722" s="12">
        <v>0.15</v>
      </c>
      <c r="D722" s="10">
        <v>0</v>
      </c>
      <c r="E722" s="10">
        <v>1</v>
      </c>
      <c r="F722" s="6">
        <v>0</v>
      </c>
      <c r="G722" s="6">
        <v>24</v>
      </c>
      <c r="H722" s="6">
        <v>0</v>
      </c>
      <c r="I722" s="11">
        <v>0.2</v>
      </c>
      <c r="J722">
        <v>1</v>
      </c>
    </row>
    <row r="723" spans="1:10" x14ac:dyDescent="0.45">
      <c r="A723" s="9">
        <v>774</v>
      </c>
      <c r="B723" s="9" t="s">
        <v>2077</v>
      </c>
      <c r="C723" s="12">
        <v>0.15</v>
      </c>
      <c r="D723" s="10">
        <v>0</v>
      </c>
      <c r="E723" s="10">
        <v>1</v>
      </c>
      <c r="F723" s="6">
        <v>0</v>
      </c>
      <c r="G723" s="6">
        <v>24</v>
      </c>
      <c r="H723" s="6">
        <v>0</v>
      </c>
      <c r="I723" s="11">
        <v>0.2</v>
      </c>
      <c r="J723">
        <v>1</v>
      </c>
    </row>
    <row r="724" spans="1:10" x14ac:dyDescent="0.45">
      <c r="A724" s="9">
        <v>775</v>
      </c>
      <c r="B724" s="9" t="s">
        <v>2078</v>
      </c>
      <c r="C724" s="12">
        <v>0.15</v>
      </c>
      <c r="D724" s="10">
        <v>0</v>
      </c>
      <c r="E724" s="10">
        <v>0</v>
      </c>
      <c r="F724" s="6">
        <v>0</v>
      </c>
      <c r="G724" s="6">
        <v>1</v>
      </c>
      <c r="H724" s="6">
        <v>0</v>
      </c>
      <c r="I724" s="11">
        <v>0</v>
      </c>
      <c r="J724">
        <v>1</v>
      </c>
    </row>
    <row r="725" spans="1:10" x14ac:dyDescent="0.45">
      <c r="A725" s="9">
        <v>776</v>
      </c>
      <c r="B725" s="9" t="s">
        <v>2079</v>
      </c>
      <c r="C725" s="12">
        <v>0.15</v>
      </c>
      <c r="D725" s="10">
        <v>0</v>
      </c>
      <c r="E725" s="10">
        <v>0</v>
      </c>
      <c r="F725" s="6">
        <v>0</v>
      </c>
      <c r="G725" s="6">
        <v>23</v>
      </c>
      <c r="H725" s="6">
        <v>0</v>
      </c>
      <c r="I725" s="11">
        <v>0</v>
      </c>
      <c r="J725">
        <v>1</v>
      </c>
    </row>
    <row r="726" spans="1:10" x14ac:dyDescent="0.45">
      <c r="A726" s="9">
        <v>777</v>
      </c>
      <c r="B726" s="9" t="s">
        <v>2080</v>
      </c>
      <c r="C726" s="12">
        <v>0.15</v>
      </c>
      <c r="D726" s="10">
        <v>0</v>
      </c>
      <c r="E726" s="10">
        <v>0</v>
      </c>
      <c r="F726" s="6">
        <v>0</v>
      </c>
      <c r="G726" s="6">
        <v>23</v>
      </c>
      <c r="H726" s="6">
        <v>0</v>
      </c>
      <c r="I726" s="11">
        <v>0</v>
      </c>
      <c r="J726">
        <v>1</v>
      </c>
    </row>
    <row r="727" spans="1:10" x14ac:dyDescent="0.45">
      <c r="A727" s="9">
        <v>778</v>
      </c>
      <c r="B727" s="9" t="s">
        <v>2081</v>
      </c>
      <c r="C727" s="12">
        <v>0.15</v>
      </c>
      <c r="D727" s="10">
        <v>0</v>
      </c>
      <c r="E727" s="10">
        <v>0</v>
      </c>
      <c r="F727" s="6">
        <v>0</v>
      </c>
      <c r="G727" s="6">
        <v>23</v>
      </c>
      <c r="H727" s="6">
        <v>0</v>
      </c>
      <c r="I727" s="11">
        <v>0</v>
      </c>
      <c r="J727">
        <v>1</v>
      </c>
    </row>
    <row r="728" spans="1:10" x14ac:dyDescent="0.45">
      <c r="A728" s="9">
        <v>779</v>
      </c>
      <c r="B728" s="9" t="s">
        <v>2082</v>
      </c>
      <c r="C728" s="12">
        <v>0.15</v>
      </c>
      <c r="D728" s="10">
        <v>0</v>
      </c>
      <c r="E728" s="10">
        <v>0</v>
      </c>
      <c r="F728" s="6">
        <v>0</v>
      </c>
      <c r="G728" s="6">
        <v>23</v>
      </c>
      <c r="H728" s="6">
        <v>0</v>
      </c>
      <c r="I728" s="11">
        <v>0</v>
      </c>
      <c r="J728">
        <v>1</v>
      </c>
    </row>
    <row r="729" spans="1:10" x14ac:dyDescent="0.45">
      <c r="A729" s="9">
        <v>780</v>
      </c>
      <c r="B729" s="9" t="s">
        <v>2083</v>
      </c>
      <c r="C729" s="12">
        <v>0.15</v>
      </c>
      <c r="D729" s="10">
        <v>0</v>
      </c>
      <c r="E729" s="10">
        <v>0</v>
      </c>
      <c r="F729" s="6">
        <v>0</v>
      </c>
      <c r="G729" s="6">
        <v>24</v>
      </c>
      <c r="H729" s="6">
        <v>0</v>
      </c>
      <c r="I729" s="11">
        <v>0.35</v>
      </c>
      <c r="J729">
        <v>1</v>
      </c>
    </row>
    <row r="730" spans="1:10" x14ac:dyDescent="0.45">
      <c r="A730" s="9">
        <v>781</v>
      </c>
      <c r="B730" s="9" t="s">
        <v>2084</v>
      </c>
      <c r="C730" s="12">
        <v>0.15</v>
      </c>
      <c r="D730" s="10">
        <v>0</v>
      </c>
      <c r="E730" s="10">
        <v>0</v>
      </c>
      <c r="F730" s="6">
        <v>0</v>
      </c>
      <c r="G730" s="6">
        <v>24</v>
      </c>
      <c r="H730" s="6">
        <v>0</v>
      </c>
      <c r="I730" s="11">
        <v>0</v>
      </c>
      <c r="J730">
        <v>1</v>
      </c>
    </row>
    <row r="731" spans="1:10" x14ac:dyDescent="0.45">
      <c r="A731" s="9">
        <v>782</v>
      </c>
      <c r="B731" s="9" t="s">
        <v>2085</v>
      </c>
      <c r="C731" s="12">
        <v>0.15</v>
      </c>
      <c r="D731" s="10">
        <v>0</v>
      </c>
      <c r="E731" s="10">
        <v>0</v>
      </c>
      <c r="F731" s="6">
        <v>0</v>
      </c>
      <c r="G731" s="6">
        <v>35</v>
      </c>
      <c r="H731" s="6">
        <v>0</v>
      </c>
      <c r="I731" s="11">
        <v>0.2</v>
      </c>
      <c r="J731">
        <v>1</v>
      </c>
    </row>
    <row r="732" spans="1:10" x14ac:dyDescent="0.45">
      <c r="A732" s="9">
        <v>783</v>
      </c>
      <c r="B732" s="9" t="s">
        <v>2086</v>
      </c>
      <c r="C732" s="12">
        <v>0.15</v>
      </c>
      <c r="D732" s="10">
        <v>0</v>
      </c>
      <c r="E732" s="10">
        <v>0</v>
      </c>
      <c r="F732" s="6">
        <v>0</v>
      </c>
      <c r="G732" s="6">
        <v>7</v>
      </c>
      <c r="H732" s="6">
        <v>0</v>
      </c>
      <c r="I732" s="11">
        <v>0</v>
      </c>
      <c r="J732">
        <v>1</v>
      </c>
    </row>
    <row r="733" spans="1:10" x14ac:dyDescent="0.45">
      <c r="A733" s="9">
        <v>784</v>
      </c>
      <c r="B733" s="9" t="s">
        <v>2087</v>
      </c>
      <c r="C733" s="12">
        <v>0</v>
      </c>
      <c r="D733" s="10">
        <v>1</v>
      </c>
      <c r="E733" s="10">
        <v>0</v>
      </c>
      <c r="F733" s="6">
        <v>0</v>
      </c>
      <c r="G733" s="6">
        <v>3</v>
      </c>
      <c r="H733" s="6">
        <v>0</v>
      </c>
      <c r="I733" s="11">
        <v>0</v>
      </c>
      <c r="J733">
        <v>1</v>
      </c>
    </row>
    <row r="734" spans="1:10" x14ac:dyDescent="0.45">
      <c r="A734" s="9">
        <v>785</v>
      </c>
      <c r="B734" s="9" t="s">
        <v>2088</v>
      </c>
      <c r="C734" s="12">
        <v>0.15</v>
      </c>
      <c r="D734" s="10">
        <v>0</v>
      </c>
      <c r="E734" s="10">
        <v>0</v>
      </c>
      <c r="F734" s="6">
        <v>0</v>
      </c>
      <c r="G734" s="6">
        <v>33</v>
      </c>
      <c r="H734" s="6">
        <v>0</v>
      </c>
      <c r="I734" s="11">
        <v>0</v>
      </c>
      <c r="J734">
        <v>1</v>
      </c>
    </row>
    <row r="735" spans="1:10" x14ac:dyDescent="0.45">
      <c r="A735" s="9">
        <v>786</v>
      </c>
      <c r="B735" s="9" t="s">
        <v>2089</v>
      </c>
      <c r="C735" s="12">
        <v>0.15</v>
      </c>
      <c r="D735" s="10">
        <v>0</v>
      </c>
      <c r="E735" s="10">
        <v>0</v>
      </c>
      <c r="F735" s="6">
        <v>0</v>
      </c>
      <c r="G735" s="6">
        <v>16</v>
      </c>
      <c r="H735" s="6">
        <v>0</v>
      </c>
      <c r="I735" s="11">
        <v>0.2</v>
      </c>
      <c r="J735">
        <v>1</v>
      </c>
    </row>
    <row r="736" spans="1:10" x14ac:dyDescent="0.45">
      <c r="A736" s="9">
        <v>787</v>
      </c>
      <c r="B736" s="9" t="s">
        <v>2090</v>
      </c>
      <c r="C736" s="12">
        <v>0</v>
      </c>
      <c r="D736" s="10">
        <v>1</v>
      </c>
      <c r="E736" s="10">
        <v>0</v>
      </c>
      <c r="F736" s="6">
        <v>0</v>
      </c>
      <c r="G736" s="6">
        <v>1</v>
      </c>
      <c r="H736" s="6">
        <v>0</v>
      </c>
      <c r="I736" s="11">
        <v>0</v>
      </c>
      <c r="J736">
        <v>1</v>
      </c>
    </row>
    <row r="737" spans="1:10" x14ac:dyDescent="0.45">
      <c r="A737" s="9">
        <v>788</v>
      </c>
      <c r="B737" s="9" t="s">
        <v>2091</v>
      </c>
      <c r="C737" s="12">
        <v>0.15</v>
      </c>
      <c r="D737" s="10">
        <v>0</v>
      </c>
      <c r="E737" s="10">
        <v>1</v>
      </c>
      <c r="F737" s="6">
        <v>0</v>
      </c>
      <c r="G737" s="6">
        <v>2</v>
      </c>
      <c r="H737" s="6">
        <v>0</v>
      </c>
      <c r="I737" s="11">
        <v>0.05</v>
      </c>
      <c r="J737">
        <v>1</v>
      </c>
    </row>
    <row r="738" spans="1:10" x14ac:dyDescent="0.45">
      <c r="A738" s="9">
        <v>789</v>
      </c>
      <c r="B738" s="9" t="s">
        <v>2092</v>
      </c>
      <c r="C738" s="12">
        <v>0.15</v>
      </c>
      <c r="D738" s="10">
        <v>0</v>
      </c>
      <c r="E738" s="10">
        <v>1</v>
      </c>
      <c r="F738" s="6">
        <v>0</v>
      </c>
      <c r="G738" s="6">
        <v>24</v>
      </c>
      <c r="H738" s="6">
        <v>0</v>
      </c>
      <c r="I738" s="11">
        <v>0.2</v>
      </c>
      <c r="J738">
        <v>1</v>
      </c>
    </row>
    <row r="739" spans="1:10" x14ac:dyDescent="0.45">
      <c r="A739" s="9">
        <v>790</v>
      </c>
      <c r="B739" s="9" t="s">
        <v>2093</v>
      </c>
      <c r="C739" s="12">
        <v>0.15</v>
      </c>
      <c r="D739" s="10">
        <v>0</v>
      </c>
      <c r="E739" s="10">
        <v>1</v>
      </c>
      <c r="F739" s="6">
        <v>0</v>
      </c>
      <c r="G739" s="6">
        <v>24</v>
      </c>
      <c r="H739" s="6">
        <v>0</v>
      </c>
      <c r="I739" s="11">
        <v>0.2</v>
      </c>
      <c r="J739">
        <v>1</v>
      </c>
    </row>
    <row r="740" spans="1:10" x14ac:dyDescent="0.45">
      <c r="A740" s="9">
        <v>791</v>
      </c>
      <c r="B740" s="9" t="s">
        <v>2094</v>
      </c>
      <c r="C740" s="12">
        <v>0.15</v>
      </c>
      <c r="D740" s="10">
        <v>0</v>
      </c>
      <c r="E740" s="10">
        <v>1</v>
      </c>
      <c r="F740" s="6">
        <v>0</v>
      </c>
      <c r="G740" s="6">
        <v>24</v>
      </c>
      <c r="H740" s="6">
        <v>0</v>
      </c>
      <c r="I740" s="11">
        <v>0.2</v>
      </c>
      <c r="J740">
        <v>1</v>
      </c>
    </row>
    <row r="741" spans="1:10" x14ac:dyDescent="0.45">
      <c r="A741" s="9">
        <v>792</v>
      </c>
      <c r="B741" s="9" t="s">
        <v>2095</v>
      </c>
      <c r="C741" s="12">
        <v>0.15</v>
      </c>
      <c r="D741" s="10">
        <v>0</v>
      </c>
      <c r="E741" s="10">
        <v>1</v>
      </c>
      <c r="F741" s="6">
        <v>0</v>
      </c>
      <c r="G741" s="6">
        <v>24</v>
      </c>
      <c r="H741" s="6">
        <v>0</v>
      </c>
      <c r="I741" s="11">
        <v>0.2</v>
      </c>
      <c r="J741">
        <v>1</v>
      </c>
    </row>
    <row r="742" spans="1:10" x14ac:dyDescent="0.45">
      <c r="A742" s="9">
        <v>793</v>
      </c>
      <c r="B742" s="9" t="s">
        <v>2096</v>
      </c>
      <c r="C742" s="12">
        <v>0.15</v>
      </c>
      <c r="D742" s="10">
        <v>0</v>
      </c>
      <c r="E742" s="10">
        <v>1</v>
      </c>
      <c r="F742" s="6">
        <v>0</v>
      </c>
      <c r="G742" s="6">
        <v>24</v>
      </c>
      <c r="H742" s="6">
        <v>0</v>
      </c>
      <c r="I742" s="11">
        <v>0.2</v>
      </c>
      <c r="J742">
        <v>1</v>
      </c>
    </row>
    <row r="743" spans="1:10" x14ac:dyDescent="0.45">
      <c r="A743" s="9">
        <v>794</v>
      </c>
      <c r="B743" s="9" t="s">
        <v>2097</v>
      </c>
      <c r="C743" s="12">
        <v>0.15</v>
      </c>
      <c r="D743" s="10">
        <v>0</v>
      </c>
      <c r="E743" s="10">
        <v>1</v>
      </c>
      <c r="F743" s="6">
        <v>0</v>
      </c>
      <c r="G743" s="6">
        <v>24</v>
      </c>
      <c r="H743" s="6">
        <v>0</v>
      </c>
      <c r="I743" s="11">
        <v>0.2</v>
      </c>
      <c r="J743">
        <v>1</v>
      </c>
    </row>
    <row r="744" spans="1:10" x14ac:dyDescent="0.45">
      <c r="A744" s="9">
        <v>795</v>
      </c>
      <c r="B744" s="9" t="s">
        <v>2098</v>
      </c>
      <c r="C744" s="12">
        <v>0.15</v>
      </c>
      <c r="D744" s="10">
        <v>0</v>
      </c>
      <c r="E744" s="10">
        <v>1</v>
      </c>
      <c r="F744" s="6">
        <v>0</v>
      </c>
      <c r="G744" s="6">
        <v>33</v>
      </c>
      <c r="H744" s="6">
        <v>0</v>
      </c>
      <c r="I744" s="11">
        <v>0.2</v>
      </c>
      <c r="J744">
        <v>1</v>
      </c>
    </row>
    <row r="745" spans="1:10" x14ac:dyDescent="0.45">
      <c r="A745" s="9">
        <v>796</v>
      </c>
      <c r="B745" s="9" t="s">
        <v>2099</v>
      </c>
      <c r="C745" s="12">
        <v>0</v>
      </c>
      <c r="D745" s="10">
        <v>1</v>
      </c>
      <c r="E745" s="10">
        <v>0</v>
      </c>
      <c r="F745" s="6">
        <v>0</v>
      </c>
      <c r="G745" s="6">
        <v>1</v>
      </c>
      <c r="H745" s="6">
        <v>0</v>
      </c>
      <c r="I745" s="11">
        <v>0</v>
      </c>
      <c r="J745">
        <v>1</v>
      </c>
    </row>
    <row r="746" spans="1:10" x14ac:dyDescent="0.45">
      <c r="A746" s="9">
        <v>797</v>
      </c>
      <c r="B746" s="9" t="s">
        <v>2100</v>
      </c>
      <c r="C746" s="12">
        <v>0.15</v>
      </c>
      <c r="D746" s="10">
        <v>0</v>
      </c>
      <c r="E746" s="10">
        <v>0</v>
      </c>
      <c r="F746" s="6">
        <v>0</v>
      </c>
      <c r="G746" s="6">
        <v>24</v>
      </c>
      <c r="H746" s="6">
        <v>0</v>
      </c>
      <c r="I746" s="11">
        <v>0</v>
      </c>
      <c r="J746">
        <v>1</v>
      </c>
    </row>
    <row r="747" spans="1:10" x14ac:dyDescent="0.45">
      <c r="A747" s="9">
        <v>798</v>
      </c>
      <c r="B747" s="9" t="s">
        <v>2101</v>
      </c>
      <c r="C747" s="12">
        <v>0.15</v>
      </c>
      <c r="D747" s="10">
        <v>0</v>
      </c>
      <c r="E747" s="10">
        <v>1</v>
      </c>
      <c r="F747" s="6">
        <v>0</v>
      </c>
      <c r="G747" s="6">
        <v>24</v>
      </c>
      <c r="H747" s="6">
        <v>0</v>
      </c>
      <c r="I747" s="11">
        <v>0.2</v>
      </c>
      <c r="J747">
        <v>1</v>
      </c>
    </row>
    <row r="748" spans="1:10" x14ac:dyDescent="0.45">
      <c r="A748" s="9">
        <v>799</v>
      </c>
      <c r="B748" s="9" t="s">
        <v>2102</v>
      </c>
      <c r="C748" s="12">
        <v>0.15</v>
      </c>
      <c r="D748" s="10">
        <v>0</v>
      </c>
      <c r="E748" s="10">
        <v>1</v>
      </c>
      <c r="F748" s="6">
        <v>0</v>
      </c>
      <c r="G748" s="6">
        <v>24</v>
      </c>
      <c r="H748" s="6">
        <v>0</v>
      </c>
      <c r="I748" s="11">
        <v>0.2</v>
      </c>
      <c r="J748">
        <v>1</v>
      </c>
    </row>
    <row r="749" spans="1:10" x14ac:dyDescent="0.45">
      <c r="A749" s="9">
        <v>800</v>
      </c>
      <c r="B749" s="9" t="s">
        <v>2103</v>
      </c>
      <c r="C749" s="12">
        <v>0</v>
      </c>
      <c r="D749" s="10">
        <v>1</v>
      </c>
      <c r="E749" s="10">
        <v>1</v>
      </c>
      <c r="F749" s="6">
        <v>0</v>
      </c>
      <c r="G749" s="6">
        <v>24</v>
      </c>
      <c r="H749" s="6">
        <v>0</v>
      </c>
      <c r="I749" s="11">
        <v>0</v>
      </c>
      <c r="J749">
        <v>1</v>
      </c>
    </row>
    <row r="750" spans="1:10" x14ac:dyDescent="0.45">
      <c r="A750" s="9">
        <v>801</v>
      </c>
      <c r="B750" s="9" t="s">
        <v>2104</v>
      </c>
      <c r="C750" s="12">
        <v>0.15</v>
      </c>
      <c r="D750" s="10">
        <v>0</v>
      </c>
      <c r="E750" s="10">
        <v>1</v>
      </c>
      <c r="F750" s="6">
        <v>0</v>
      </c>
      <c r="G750" s="6">
        <v>24</v>
      </c>
      <c r="H750" s="6">
        <v>0</v>
      </c>
      <c r="I750" s="11">
        <v>0.2</v>
      </c>
      <c r="J750">
        <v>1</v>
      </c>
    </row>
    <row r="751" spans="1:10" x14ac:dyDescent="0.45">
      <c r="A751" s="9">
        <v>802</v>
      </c>
      <c r="B751" s="9" t="s">
        <v>2105</v>
      </c>
      <c r="C751" s="12">
        <v>0</v>
      </c>
      <c r="D751" s="10">
        <v>1</v>
      </c>
      <c r="E751" s="10">
        <v>0</v>
      </c>
      <c r="F751" s="6">
        <v>0</v>
      </c>
      <c r="G751" s="6">
        <v>1</v>
      </c>
      <c r="H751" s="6">
        <v>0</v>
      </c>
      <c r="I751" s="11">
        <v>0</v>
      </c>
      <c r="J751">
        <v>1</v>
      </c>
    </row>
    <row r="752" spans="1:10" x14ac:dyDescent="0.45">
      <c r="A752" s="9">
        <v>803</v>
      </c>
      <c r="B752" s="9" t="s">
        <v>2106</v>
      </c>
      <c r="C752" s="12">
        <v>0.15</v>
      </c>
      <c r="D752" s="10">
        <v>0</v>
      </c>
      <c r="E752" s="10">
        <v>1</v>
      </c>
      <c r="F752" s="6">
        <v>0</v>
      </c>
      <c r="G752" s="6">
        <v>24</v>
      </c>
      <c r="H752" s="6">
        <v>0</v>
      </c>
      <c r="I752" s="11">
        <v>0.2</v>
      </c>
      <c r="J752">
        <v>1</v>
      </c>
    </row>
    <row r="753" spans="1:10" x14ac:dyDescent="0.45">
      <c r="A753" s="9">
        <v>804</v>
      </c>
      <c r="B753" s="9" t="s">
        <v>2107</v>
      </c>
      <c r="C753" s="12">
        <v>0.15</v>
      </c>
      <c r="D753" s="10">
        <v>0</v>
      </c>
      <c r="E753" s="10">
        <v>1</v>
      </c>
      <c r="F753" s="6">
        <v>0</v>
      </c>
      <c r="G753" s="6">
        <v>24</v>
      </c>
      <c r="H753" s="6">
        <v>0</v>
      </c>
      <c r="I753" s="11">
        <v>0.2</v>
      </c>
      <c r="J753">
        <v>1</v>
      </c>
    </row>
    <row r="754" spans="1:10" x14ac:dyDescent="0.45">
      <c r="A754" s="9">
        <v>805</v>
      </c>
      <c r="B754" s="9" t="s">
        <v>2108</v>
      </c>
      <c r="C754" s="12">
        <v>0.15</v>
      </c>
      <c r="D754" s="10">
        <v>0</v>
      </c>
      <c r="E754" s="10">
        <v>0</v>
      </c>
      <c r="F754" s="6">
        <v>0</v>
      </c>
      <c r="G754" s="6">
        <v>24</v>
      </c>
      <c r="H754" s="6">
        <v>0</v>
      </c>
      <c r="I754" s="11">
        <v>0</v>
      </c>
      <c r="J754">
        <v>1</v>
      </c>
    </row>
    <row r="755" spans="1:10" x14ac:dyDescent="0.45">
      <c r="A755" s="9">
        <v>806</v>
      </c>
      <c r="B755" s="9" t="s">
        <v>2109</v>
      </c>
      <c r="C755" s="12">
        <v>0</v>
      </c>
      <c r="D755" s="10">
        <v>1</v>
      </c>
      <c r="E755" s="10">
        <v>0</v>
      </c>
      <c r="F755" s="6">
        <v>0</v>
      </c>
      <c r="G755" s="6">
        <v>24</v>
      </c>
      <c r="H755" s="6">
        <v>0</v>
      </c>
      <c r="I755" s="11">
        <v>0</v>
      </c>
      <c r="J755">
        <v>1</v>
      </c>
    </row>
    <row r="756" spans="1:10" x14ac:dyDescent="0.45">
      <c r="A756" s="9">
        <v>807</v>
      </c>
      <c r="B756" s="9" t="s">
        <v>2110</v>
      </c>
      <c r="C756" s="12">
        <v>0.15</v>
      </c>
      <c r="D756" s="10">
        <v>0</v>
      </c>
      <c r="E756" s="10">
        <v>1</v>
      </c>
      <c r="F756" s="6">
        <v>0</v>
      </c>
      <c r="G756" s="6">
        <v>24</v>
      </c>
      <c r="H756" s="6">
        <v>0</v>
      </c>
      <c r="I756" s="11">
        <v>0.35</v>
      </c>
      <c r="J756">
        <v>1</v>
      </c>
    </row>
    <row r="757" spans="1:10" x14ac:dyDescent="0.45">
      <c r="A757" s="9">
        <v>808</v>
      </c>
      <c r="B757" s="9" t="s">
        <v>2111</v>
      </c>
      <c r="C757" s="12">
        <v>0.15</v>
      </c>
      <c r="D757" s="10">
        <v>0</v>
      </c>
      <c r="E757" s="10">
        <v>0</v>
      </c>
      <c r="F757" s="6">
        <v>0</v>
      </c>
      <c r="G757" s="6">
        <v>35</v>
      </c>
      <c r="H757" s="6">
        <v>0</v>
      </c>
      <c r="I757" s="11">
        <v>0</v>
      </c>
      <c r="J757">
        <v>1</v>
      </c>
    </row>
    <row r="758" spans="1:10" x14ac:dyDescent="0.45">
      <c r="A758" s="9">
        <v>809</v>
      </c>
      <c r="B758" s="9" t="s">
        <v>2112</v>
      </c>
      <c r="C758" s="12">
        <v>0</v>
      </c>
      <c r="D758" s="10">
        <v>1</v>
      </c>
      <c r="E758" s="10">
        <v>1</v>
      </c>
      <c r="F758" s="6">
        <v>0</v>
      </c>
      <c r="G758" s="6">
        <v>31</v>
      </c>
      <c r="H758" s="6">
        <v>0</v>
      </c>
      <c r="I758" s="11">
        <v>0</v>
      </c>
      <c r="J758">
        <v>1</v>
      </c>
    </row>
    <row r="759" spans="1:10" x14ac:dyDescent="0.45">
      <c r="A759" s="9">
        <v>810</v>
      </c>
      <c r="B759" s="9" t="s">
        <v>2113</v>
      </c>
      <c r="C759" s="12">
        <v>0.15</v>
      </c>
      <c r="D759" s="10">
        <v>0</v>
      </c>
      <c r="E759" s="10">
        <v>0</v>
      </c>
      <c r="F759" s="6">
        <v>0</v>
      </c>
      <c r="G759" s="6">
        <v>31</v>
      </c>
      <c r="H759" s="6">
        <v>0</v>
      </c>
      <c r="I759" s="11">
        <v>0</v>
      </c>
      <c r="J759">
        <v>1</v>
      </c>
    </row>
    <row r="760" spans="1:10" x14ac:dyDescent="0.45">
      <c r="A760" s="9">
        <v>811</v>
      </c>
      <c r="B760" s="9" t="s">
        <v>2114</v>
      </c>
      <c r="C760" s="12">
        <v>0.15</v>
      </c>
      <c r="D760" s="10">
        <v>0</v>
      </c>
      <c r="E760" s="10">
        <v>0</v>
      </c>
      <c r="F760" s="6">
        <v>0</v>
      </c>
      <c r="G760" s="6">
        <v>31</v>
      </c>
      <c r="H760" s="6">
        <v>0</v>
      </c>
      <c r="I760" s="11">
        <v>0</v>
      </c>
      <c r="J760">
        <v>1</v>
      </c>
    </row>
    <row r="761" spans="1:10" x14ac:dyDescent="0.45">
      <c r="A761" s="9">
        <v>812</v>
      </c>
      <c r="B761" s="9" t="s">
        <v>2115</v>
      </c>
      <c r="C761" s="12">
        <v>0.15</v>
      </c>
      <c r="D761" s="10">
        <v>0</v>
      </c>
      <c r="E761" s="10">
        <v>0</v>
      </c>
      <c r="F761" s="6">
        <v>0</v>
      </c>
      <c r="G761" s="6">
        <v>31</v>
      </c>
      <c r="H761" s="6">
        <v>0</v>
      </c>
      <c r="I761" s="11">
        <v>0</v>
      </c>
      <c r="J761">
        <v>1</v>
      </c>
    </row>
    <row r="762" spans="1:10" x14ac:dyDescent="0.45">
      <c r="A762" s="9">
        <v>813</v>
      </c>
      <c r="B762" s="9" t="s">
        <v>2116</v>
      </c>
      <c r="C762" s="12">
        <v>0.15</v>
      </c>
      <c r="D762" s="10">
        <v>0</v>
      </c>
      <c r="E762" s="10">
        <v>0</v>
      </c>
      <c r="F762" s="6">
        <v>0</v>
      </c>
      <c r="G762" s="6">
        <v>31</v>
      </c>
      <c r="H762" s="6">
        <v>0</v>
      </c>
      <c r="I762" s="11">
        <v>0</v>
      </c>
      <c r="J762">
        <v>1</v>
      </c>
    </row>
    <row r="763" spans="1:10" x14ac:dyDescent="0.45">
      <c r="A763" s="9">
        <v>814</v>
      </c>
      <c r="B763" s="9" t="s">
        <v>2117</v>
      </c>
      <c r="C763" s="12">
        <v>0.15</v>
      </c>
      <c r="D763" s="10">
        <v>0</v>
      </c>
      <c r="E763" s="10">
        <v>0</v>
      </c>
      <c r="F763" s="6">
        <v>0</v>
      </c>
      <c r="G763" s="6">
        <v>31</v>
      </c>
      <c r="H763" s="6">
        <v>0</v>
      </c>
      <c r="I763" s="11">
        <v>0</v>
      </c>
      <c r="J763">
        <v>1</v>
      </c>
    </row>
    <row r="764" spans="1:10" x14ac:dyDescent="0.45">
      <c r="A764" s="9">
        <v>815</v>
      </c>
      <c r="B764" s="9" t="s">
        <v>2118</v>
      </c>
      <c r="C764" s="12">
        <v>0.15</v>
      </c>
      <c r="D764" s="10">
        <v>0</v>
      </c>
      <c r="E764" s="10">
        <v>0</v>
      </c>
      <c r="F764" s="6">
        <v>0</v>
      </c>
      <c r="G764" s="6">
        <v>23</v>
      </c>
      <c r="H764" s="6">
        <v>0</v>
      </c>
      <c r="I764" s="11">
        <v>0</v>
      </c>
      <c r="J764">
        <v>1</v>
      </c>
    </row>
    <row r="765" spans="1:10" x14ac:dyDescent="0.45">
      <c r="A765" s="9">
        <v>816</v>
      </c>
      <c r="B765" s="9" t="s">
        <v>2119</v>
      </c>
      <c r="C765" s="12">
        <v>0.15</v>
      </c>
      <c r="D765" s="10">
        <v>0</v>
      </c>
      <c r="E765" s="10">
        <v>0</v>
      </c>
      <c r="F765" s="6">
        <v>0</v>
      </c>
      <c r="G765" s="6">
        <v>23</v>
      </c>
      <c r="H765" s="6">
        <v>0</v>
      </c>
      <c r="I765" s="11">
        <v>0</v>
      </c>
      <c r="J765">
        <v>1</v>
      </c>
    </row>
    <row r="766" spans="1:10" x14ac:dyDescent="0.45">
      <c r="A766" s="9">
        <v>817</v>
      </c>
      <c r="B766" s="9" t="s">
        <v>2120</v>
      </c>
      <c r="C766" s="12">
        <v>0.15</v>
      </c>
      <c r="D766" s="10">
        <v>0</v>
      </c>
      <c r="E766" s="10">
        <v>0</v>
      </c>
      <c r="F766" s="6">
        <v>0</v>
      </c>
      <c r="G766" s="6">
        <v>23</v>
      </c>
      <c r="H766" s="6">
        <v>0</v>
      </c>
      <c r="I766" s="11">
        <v>0</v>
      </c>
      <c r="J766">
        <v>1</v>
      </c>
    </row>
    <row r="767" spans="1:10" x14ac:dyDescent="0.45">
      <c r="A767" s="9">
        <v>818</v>
      </c>
      <c r="B767" s="9" t="s">
        <v>2121</v>
      </c>
      <c r="C767" s="12">
        <v>0.15</v>
      </c>
      <c r="D767" s="10">
        <v>0</v>
      </c>
      <c r="E767" s="10">
        <v>0</v>
      </c>
      <c r="F767" s="6">
        <v>0</v>
      </c>
      <c r="G767" s="6">
        <v>23</v>
      </c>
      <c r="H767" s="6">
        <v>0</v>
      </c>
      <c r="I767" s="11">
        <v>0</v>
      </c>
      <c r="J767">
        <v>1</v>
      </c>
    </row>
    <row r="768" spans="1:10" x14ac:dyDescent="0.45">
      <c r="A768" s="9">
        <v>819</v>
      </c>
      <c r="B768" s="9" t="s">
        <v>2122</v>
      </c>
      <c r="C768" s="12">
        <v>0</v>
      </c>
      <c r="D768" s="10">
        <v>1</v>
      </c>
      <c r="E768" s="10">
        <v>0</v>
      </c>
      <c r="F768" s="6">
        <v>0</v>
      </c>
      <c r="G768" s="6">
        <v>23</v>
      </c>
      <c r="H768" s="6">
        <v>0</v>
      </c>
      <c r="I768" s="11">
        <v>0</v>
      </c>
      <c r="J768">
        <v>1</v>
      </c>
    </row>
    <row r="769" spans="1:10" x14ac:dyDescent="0.45">
      <c r="A769" s="9">
        <v>820</v>
      </c>
      <c r="B769" s="9" t="s">
        <v>2123</v>
      </c>
      <c r="C769" s="12">
        <v>0.15</v>
      </c>
      <c r="D769" s="10">
        <v>0</v>
      </c>
      <c r="E769" s="10">
        <v>0</v>
      </c>
      <c r="F769" s="6">
        <v>0</v>
      </c>
      <c r="G769" s="6">
        <v>23</v>
      </c>
      <c r="H769" s="6">
        <v>0</v>
      </c>
      <c r="I769" s="11">
        <v>0</v>
      </c>
      <c r="J769">
        <v>1</v>
      </c>
    </row>
    <row r="770" spans="1:10" x14ac:dyDescent="0.45">
      <c r="A770" s="9">
        <v>821</v>
      </c>
      <c r="B770" s="9" t="s">
        <v>2124</v>
      </c>
      <c r="C770" s="12">
        <v>0.15</v>
      </c>
      <c r="D770" s="10">
        <v>0</v>
      </c>
      <c r="E770" s="10">
        <v>0</v>
      </c>
      <c r="F770" s="6">
        <v>0</v>
      </c>
      <c r="G770" s="6">
        <v>23</v>
      </c>
      <c r="H770" s="6">
        <v>0</v>
      </c>
      <c r="I770" s="11">
        <v>0</v>
      </c>
      <c r="J770">
        <v>1</v>
      </c>
    </row>
    <row r="771" spans="1:10" x14ac:dyDescent="0.45">
      <c r="A771" s="9">
        <v>822</v>
      </c>
      <c r="B771" s="9" t="s">
        <v>2125</v>
      </c>
      <c r="C771" s="12">
        <v>0.15</v>
      </c>
      <c r="D771" s="10">
        <v>0</v>
      </c>
      <c r="E771" s="10">
        <v>0</v>
      </c>
      <c r="F771" s="6">
        <v>0</v>
      </c>
      <c r="G771" s="6">
        <v>23</v>
      </c>
      <c r="H771" s="6">
        <v>0</v>
      </c>
      <c r="I771" s="11">
        <v>0</v>
      </c>
      <c r="J771">
        <v>1</v>
      </c>
    </row>
    <row r="772" spans="1:10" x14ac:dyDescent="0.45">
      <c r="A772" s="9">
        <v>823</v>
      </c>
      <c r="B772" s="9" t="s">
        <v>2126</v>
      </c>
      <c r="C772" s="12">
        <v>0.15</v>
      </c>
      <c r="D772" s="10">
        <v>0</v>
      </c>
      <c r="E772" s="10">
        <v>0</v>
      </c>
      <c r="F772" s="6">
        <v>0</v>
      </c>
      <c r="G772" s="6">
        <v>23</v>
      </c>
      <c r="H772" s="6">
        <v>0</v>
      </c>
      <c r="I772" s="11">
        <v>0</v>
      </c>
      <c r="J772">
        <v>1</v>
      </c>
    </row>
    <row r="773" spans="1:10" x14ac:dyDescent="0.45">
      <c r="A773" s="9">
        <v>824</v>
      </c>
      <c r="B773" s="9" t="s">
        <v>2127</v>
      </c>
      <c r="C773" s="12">
        <v>0.15</v>
      </c>
      <c r="D773" s="10">
        <v>0</v>
      </c>
      <c r="E773" s="10">
        <v>0</v>
      </c>
      <c r="F773" s="6">
        <v>0</v>
      </c>
      <c r="G773" s="6">
        <v>23</v>
      </c>
      <c r="H773" s="6">
        <v>0</v>
      </c>
      <c r="I773" s="11">
        <v>0</v>
      </c>
      <c r="J773">
        <v>1</v>
      </c>
    </row>
    <row r="774" spans="1:10" x14ac:dyDescent="0.45">
      <c r="A774" s="9">
        <v>825</v>
      </c>
      <c r="B774" s="9" t="s">
        <v>2128</v>
      </c>
      <c r="C774" s="12">
        <v>0.15</v>
      </c>
      <c r="D774" s="10">
        <v>0</v>
      </c>
      <c r="E774" s="10">
        <v>0</v>
      </c>
      <c r="F774" s="6">
        <v>0</v>
      </c>
      <c r="G774" s="6">
        <v>23</v>
      </c>
      <c r="H774" s="6">
        <v>0</v>
      </c>
      <c r="I774" s="11">
        <v>0</v>
      </c>
      <c r="J774">
        <v>1</v>
      </c>
    </row>
    <row r="775" spans="1:10" x14ac:dyDescent="0.45">
      <c r="A775" s="9">
        <v>826</v>
      </c>
      <c r="B775" s="9" t="s">
        <v>2129</v>
      </c>
      <c r="C775" s="12">
        <v>0.15</v>
      </c>
      <c r="D775" s="10">
        <v>0</v>
      </c>
      <c r="E775" s="10">
        <v>0</v>
      </c>
      <c r="F775" s="6">
        <v>0</v>
      </c>
      <c r="G775" s="6">
        <v>29</v>
      </c>
      <c r="H775" s="6">
        <v>0</v>
      </c>
      <c r="I775" s="11">
        <v>0</v>
      </c>
      <c r="J775">
        <v>1</v>
      </c>
    </row>
    <row r="776" spans="1:10" x14ac:dyDescent="0.45">
      <c r="A776" s="9">
        <v>827</v>
      </c>
      <c r="B776" s="9" t="s">
        <v>2130</v>
      </c>
      <c r="C776" s="12">
        <v>0.15</v>
      </c>
      <c r="D776" s="10">
        <v>0</v>
      </c>
      <c r="E776" s="10">
        <v>0</v>
      </c>
      <c r="F776" s="6">
        <v>0</v>
      </c>
      <c r="G776" s="6">
        <v>29</v>
      </c>
      <c r="H776" s="6">
        <v>0</v>
      </c>
      <c r="I776" s="11">
        <v>0</v>
      </c>
      <c r="J776">
        <v>1</v>
      </c>
    </row>
    <row r="777" spans="1:10" x14ac:dyDescent="0.45">
      <c r="A777" s="9">
        <v>828</v>
      </c>
      <c r="B777" s="9" t="s">
        <v>2131</v>
      </c>
      <c r="C777" s="12">
        <v>0.15</v>
      </c>
      <c r="D777" s="10">
        <v>0</v>
      </c>
      <c r="E777" s="10">
        <v>0</v>
      </c>
      <c r="F777" s="6">
        <v>0</v>
      </c>
      <c r="G777" s="6">
        <v>24</v>
      </c>
      <c r="H777" s="6">
        <v>0</v>
      </c>
      <c r="I777" s="11">
        <v>0.2</v>
      </c>
      <c r="J777">
        <v>1</v>
      </c>
    </row>
    <row r="778" spans="1:10" x14ac:dyDescent="0.45">
      <c r="A778" s="9">
        <v>829</v>
      </c>
      <c r="B778" s="9" t="s">
        <v>2132</v>
      </c>
      <c r="C778" s="12">
        <v>0.15</v>
      </c>
      <c r="D778" s="10">
        <v>0</v>
      </c>
      <c r="E778" s="10">
        <v>1</v>
      </c>
      <c r="F778" s="6">
        <v>0</v>
      </c>
      <c r="G778" s="6">
        <v>24</v>
      </c>
      <c r="H778" s="6">
        <v>0</v>
      </c>
      <c r="I778" s="11">
        <v>0.2</v>
      </c>
      <c r="J778">
        <v>1</v>
      </c>
    </row>
    <row r="779" spans="1:10" x14ac:dyDescent="0.45">
      <c r="A779" s="9">
        <v>830</v>
      </c>
      <c r="B779" s="9" t="s">
        <v>2133</v>
      </c>
      <c r="C779" s="12">
        <v>0.15</v>
      </c>
      <c r="D779" s="10">
        <v>0</v>
      </c>
      <c r="E779" s="10">
        <v>0</v>
      </c>
      <c r="F779" s="6">
        <v>0</v>
      </c>
      <c r="G779" s="6">
        <v>29</v>
      </c>
      <c r="H779" s="6">
        <v>0</v>
      </c>
      <c r="I779" s="11">
        <v>0</v>
      </c>
      <c r="J779">
        <v>1</v>
      </c>
    </row>
    <row r="780" spans="1:10" x14ac:dyDescent="0.45">
      <c r="A780" s="9">
        <v>831</v>
      </c>
      <c r="B780" s="9" t="s">
        <v>2134</v>
      </c>
      <c r="C780" s="12">
        <v>0.15</v>
      </c>
      <c r="D780" s="10">
        <v>0</v>
      </c>
      <c r="E780" s="10">
        <v>1</v>
      </c>
      <c r="F780" s="6">
        <v>0</v>
      </c>
      <c r="G780" s="6">
        <v>24</v>
      </c>
      <c r="H780" s="6">
        <v>0</v>
      </c>
      <c r="I780" s="11">
        <v>0.2</v>
      </c>
      <c r="J780">
        <v>1</v>
      </c>
    </row>
    <row r="781" spans="1:10" x14ac:dyDescent="0.45">
      <c r="A781" s="9">
        <v>832</v>
      </c>
      <c r="B781" s="9" t="s">
        <v>2135</v>
      </c>
      <c r="C781" s="12">
        <v>0.15</v>
      </c>
      <c r="D781" s="10">
        <v>0</v>
      </c>
      <c r="E781" s="10">
        <v>0</v>
      </c>
      <c r="F781" s="6">
        <v>0</v>
      </c>
      <c r="G781" s="6">
        <v>1</v>
      </c>
      <c r="H781" s="6">
        <v>0</v>
      </c>
      <c r="I781" s="11">
        <v>0</v>
      </c>
      <c r="J781">
        <v>1</v>
      </c>
    </row>
    <row r="782" spans="1:10" x14ac:dyDescent="0.45">
      <c r="A782" s="9">
        <v>833</v>
      </c>
      <c r="B782" s="9" t="s">
        <v>2136</v>
      </c>
      <c r="C782" s="12">
        <v>0.15</v>
      </c>
      <c r="D782" s="10">
        <v>0</v>
      </c>
      <c r="E782" s="10">
        <v>1</v>
      </c>
      <c r="F782" s="6">
        <v>0</v>
      </c>
      <c r="G782" s="6">
        <v>24</v>
      </c>
      <c r="H782" s="6">
        <v>0</v>
      </c>
      <c r="I782" s="11">
        <v>0.2</v>
      </c>
      <c r="J782">
        <v>1</v>
      </c>
    </row>
    <row r="783" spans="1:10" x14ac:dyDescent="0.45">
      <c r="A783" s="9">
        <v>834</v>
      </c>
      <c r="B783" s="9" t="s">
        <v>2137</v>
      </c>
      <c r="C783" s="12">
        <v>0.15</v>
      </c>
      <c r="D783" s="10">
        <v>0</v>
      </c>
      <c r="E783" s="10">
        <v>1</v>
      </c>
      <c r="F783" s="6">
        <v>0</v>
      </c>
      <c r="G783" s="6">
        <v>24</v>
      </c>
      <c r="H783" s="6">
        <v>0</v>
      </c>
      <c r="I783" s="11">
        <v>0.35</v>
      </c>
      <c r="J783">
        <v>1</v>
      </c>
    </row>
    <row r="784" spans="1:10" x14ac:dyDescent="0.45">
      <c r="A784" s="9">
        <v>835</v>
      </c>
      <c r="B784" s="9" t="s">
        <v>2138</v>
      </c>
      <c r="C784" s="12">
        <v>0.15</v>
      </c>
      <c r="D784" s="10">
        <v>0</v>
      </c>
      <c r="E784" s="10">
        <v>1</v>
      </c>
      <c r="F784" s="6">
        <v>0</v>
      </c>
      <c r="G784" s="6">
        <v>24</v>
      </c>
      <c r="H784" s="6">
        <v>0</v>
      </c>
      <c r="I784" s="11">
        <v>0.2</v>
      </c>
      <c r="J784">
        <v>1</v>
      </c>
    </row>
    <row r="785" spans="1:10" x14ac:dyDescent="0.45">
      <c r="A785" s="9">
        <v>836</v>
      </c>
      <c r="B785" s="9" t="s">
        <v>2139</v>
      </c>
      <c r="C785" s="12">
        <v>0.15</v>
      </c>
      <c r="D785" s="10">
        <v>0</v>
      </c>
      <c r="E785" s="10">
        <v>1</v>
      </c>
      <c r="F785" s="6">
        <v>0</v>
      </c>
      <c r="G785" s="6">
        <v>24</v>
      </c>
      <c r="H785" s="6">
        <v>0</v>
      </c>
      <c r="I785" s="11">
        <v>0.2</v>
      </c>
      <c r="J785">
        <v>1</v>
      </c>
    </row>
    <row r="786" spans="1:10" x14ac:dyDescent="0.45">
      <c r="A786" s="9">
        <v>837</v>
      </c>
      <c r="B786" s="9" t="s">
        <v>2140</v>
      </c>
      <c r="C786" s="12">
        <v>0.15</v>
      </c>
      <c r="D786" s="10">
        <v>0</v>
      </c>
      <c r="E786" s="10">
        <v>1</v>
      </c>
      <c r="F786" s="6">
        <v>0</v>
      </c>
      <c r="G786" s="6">
        <v>24</v>
      </c>
      <c r="H786" s="6">
        <v>0</v>
      </c>
      <c r="I786" s="11">
        <v>0.05</v>
      </c>
      <c r="J786">
        <v>1</v>
      </c>
    </row>
    <row r="787" spans="1:10" x14ac:dyDescent="0.45">
      <c r="A787" s="9">
        <v>838</v>
      </c>
      <c r="B787" s="9" t="s">
        <v>2141</v>
      </c>
      <c r="C787" s="12">
        <v>0.15</v>
      </c>
      <c r="D787" s="10">
        <v>0</v>
      </c>
      <c r="E787" s="10">
        <v>1</v>
      </c>
      <c r="F787" s="6">
        <v>0</v>
      </c>
      <c r="G787" s="6">
        <v>24</v>
      </c>
      <c r="H787" s="6">
        <v>0</v>
      </c>
      <c r="I787" s="11">
        <v>0</v>
      </c>
      <c r="J787">
        <v>1</v>
      </c>
    </row>
    <row r="788" spans="1:10" x14ac:dyDescent="0.45">
      <c r="A788" s="9">
        <v>839</v>
      </c>
      <c r="B788" s="9" t="s">
        <v>2142</v>
      </c>
      <c r="C788" s="12">
        <v>0.15</v>
      </c>
      <c r="D788" s="10">
        <v>0</v>
      </c>
      <c r="E788" s="10">
        <v>1</v>
      </c>
      <c r="F788" s="6">
        <v>0</v>
      </c>
      <c r="G788" s="6">
        <v>24</v>
      </c>
      <c r="H788" s="6">
        <v>0</v>
      </c>
      <c r="I788" s="11">
        <v>0.2</v>
      </c>
      <c r="J788">
        <v>1</v>
      </c>
    </row>
    <row r="789" spans="1:10" x14ac:dyDescent="0.45">
      <c r="A789" s="9">
        <v>840</v>
      </c>
      <c r="B789" s="9" t="s">
        <v>2143</v>
      </c>
      <c r="C789" s="12">
        <v>0</v>
      </c>
      <c r="D789" s="10">
        <v>1</v>
      </c>
      <c r="E789" s="10">
        <v>0</v>
      </c>
      <c r="F789" s="6">
        <v>0</v>
      </c>
      <c r="G789" s="6">
        <v>24</v>
      </c>
      <c r="H789" s="6">
        <v>0</v>
      </c>
      <c r="I789" s="11">
        <v>0</v>
      </c>
      <c r="J789">
        <v>1</v>
      </c>
    </row>
    <row r="790" spans="1:10" x14ac:dyDescent="0.45">
      <c r="A790" s="9">
        <v>841</v>
      </c>
      <c r="B790" s="9" t="s">
        <v>2144</v>
      </c>
      <c r="C790" s="12">
        <v>0.15</v>
      </c>
      <c r="D790" s="10">
        <v>0</v>
      </c>
      <c r="E790" s="10">
        <v>0</v>
      </c>
      <c r="F790" s="6">
        <v>0</v>
      </c>
      <c r="G790" s="6">
        <v>24</v>
      </c>
      <c r="H790" s="6">
        <v>0</v>
      </c>
      <c r="I790" s="11">
        <v>0</v>
      </c>
      <c r="J790">
        <v>1</v>
      </c>
    </row>
    <row r="791" spans="1:10" x14ac:dyDescent="0.45">
      <c r="A791" s="9">
        <v>842</v>
      </c>
      <c r="B791" s="9" t="s">
        <v>2145</v>
      </c>
      <c r="C791" s="12">
        <v>0.15</v>
      </c>
      <c r="D791" s="10">
        <v>0</v>
      </c>
      <c r="E791" s="10">
        <v>1</v>
      </c>
      <c r="F791" s="6">
        <v>0</v>
      </c>
      <c r="G791" s="6">
        <v>24</v>
      </c>
      <c r="H791" s="6">
        <v>0</v>
      </c>
      <c r="I791" s="11">
        <v>0.2</v>
      </c>
      <c r="J791">
        <v>1</v>
      </c>
    </row>
    <row r="792" spans="1:10" x14ac:dyDescent="0.45">
      <c r="A792" s="9">
        <v>843</v>
      </c>
      <c r="B792" s="9" t="s">
        <v>2146</v>
      </c>
      <c r="C792" s="12">
        <v>0.15</v>
      </c>
      <c r="D792" s="10">
        <v>0</v>
      </c>
      <c r="E792" s="10">
        <v>1</v>
      </c>
      <c r="F792" s="6">
        <v>0</v>
      </c>
      <c r="G792" s="6">
        <v>24</v>
      </c>
      <c r="H792" s="6">
        <v>0</v>
      </c>
      <c r="I792" s="11">
        <v>0.2</v>
      </c>
      <c r="J792">
        <v>1</v>
      </c>
    </row>
    <row r="793" spans="1:10" x14ac:dyDescent="0.45">
      <c r="A793" s="9">
        <v>844</v>
      </c>
      <c r="B793" s="9" t="s">
        <v>2147</v>
      </c>
      <c r="C793" s="12">
        <v>0.15</v>
      </c>
      <c r="D793" s="10">
        <v>0</v>
      </c>
      <c r="E793" s="10">
        <v>1</v>
      </c>
      <c r="F793" s="6">
        <v>0</v>
      </c>
      <c r="G793" s="6">
        <v>3</v>
      </c>
      <c r="H793" s="6">
        <v>0</v>
      </c>
      <c r="I793" s="11">
        <v>0.2</v>
      </c>
      <c r="J793">
        <v>1</v>
      </c>
    </row>
    <row r="794" spans="1:10" x14ac:dyDescent="0.45">
      <c r="A794" s="9">
        <v>845</v>
      </c>
      <c r="B794" s="9" t="s">
        <v>2148</v>
      </c>
      <c r="C794" s="12">
        <v>0</v>
      </c>
      <c r="D794" s="10">
        <v>1</v>
      </c>
      <c r="E794" s="10">
        <v>0</v>
      </c>
      <c r="F794" s="6">
        <v>0</v>
      </c>
      <c r="G794" s="6">
        <v>19</v>
      </c>
      <c r="H794" s="6">
        <v>0</v>
      </c>
      <c r="I794" s="11">
        <v>0.2</v>
      </c>
      <c r="J794">
        <v>1</v>
      </c>
    </row>
    <row r="795" spans="1:10" x14ac:dyDescent="0.45">
      <c r="A795" s="9">
        <v>846</v>
      </c>
      <c r="B795" s="9" t="s">
        <v>2149</v>
      </c>
      <c r="C795" s="12">
        <v>0.15</v>
      </c>
      <c r="D795" s="10">
        <v>0</v>
      </c>
      <c r="E795" s="10">
        <v>0</v>
      </c>
      <c r="F795" s="6">
        <v>0</v>
      </c>
      <c r="G795" s="6">
        <v>19</v>
      </c>
      <c r="H795" s="6">
        <v>0</v>
      </c>
      <c r="I795" s="11">
        <v>0</v>
      </c>
      <c r="J795">
        <v>1</v>
      </c>
    </row>
    <row r="796" spans="1:10" x14ac:dyDescent="0.45">
      <c r="A796" s="9">
        <v>847</v>
      </c>
      <c r="B796" s="9" t="s">
        <v>2150</v>
      </c>
      <c r="C796" s="12">
        <v>0</v>
      </c>
      <c r="D796" s="10">
        <v>1</v>
      </c>
      <c r="E796" s="10">
        <v>0</v>
      </c>
      <c r="F796" s="6">
        <v>0</v>
      </c>
      <c r="G796" s="6">
        <v>33</v>
      </c>
      <c r="H796" s="6">
        <v>0</v>
      </c>
      <c r="I796" s="11">
        <v>0</v>
      </c>
      <c r="J796">
        <v>1</v>
      </c>
    </row>
    <row r="797" spans="1:10" x14ac:dyDescent="0.45">
      <c r="A797" s="9">
        <v>848</v>
      </c>
      <c r="B797" s="9" t="s">
        <v>2151</v>
      </c>
      <c r="C797" s="12">
        <v>0</v>
      </c>
      <c r="D797" s="10">
        <v>1</v>
      </c>
      <c r="E797" s="10">
        <v>0</v>
      </c>
      <c r="F797" s="6">
        <v>0</v>
      </c>
      <c r="G797" s="6">
        <v>33</v>
      </c>
      <c r="H797" s="6">
        <v>0</v>
      </c>
      <c r="I797" s="11">
        <v>0</v>
      </c>
      <c r="J797">
        <v>1</v>
      </c>
    </row>
    <row r="798" spans="1:10" x14ac:dyDescent="0.45">
      <c r="A798" s="9">
        <v>849</v>
      </c>
      <c r="B798" s="9" t="s">
        <v>2152</v>
      </c>
      <c r="C798" s="12">
        <v>0.15</v>
      </c>
      <c r="D798" s="10">
        <v>0</v>
      </c>
      <c r="E798" s="10">
        <v>1</v>
      </c>
      <c r="F798" s="6">
        <v>0</v>
      </c>
      <c r="G798" s="6">
        <v>23</v>
      </c>
      <c r="H798" s="6">
        <v>0</v>
      </c>
      <c r="I798" s="11">
        <v>0.2</v>
      </c>
      <c r="J798">
        <v>1</v>
      </c>
    </row>
    <row r="799" spans="1:10" x14ac:dyDescent="0.45">
      <c r="A799" s="9">
        <v>850</v>
      </c>
      <c r="B799" s="9" t="s">
        <v>2153</v>
      </c>
      <c r="C799" s="12">
        <v>0.15</v>
      </c>
      <c r="D799" s="10">
        <v>0</v>
      </c>
      <c r="E799" s="10">
        <v>1</v>
      </c>
      <c r="F799" s="6">
        <v>0</v>
      </c>
      <c r="G799" s="6">
        <v>23</v>
      </c>
      <c r="H799" s="6">
        <v>0</v>
      </c>
      <c r="I799" s="11">
        <v>0.2</v>
      </c>
      <c r="J799">
        <v>1</v>
      </c>
    </row>
    <row r="800" spans="1:10" x14ac:dyDescent="0.45">
      <c r="A800" s="9">
        <v>851</v>
      </c>
      <c r="B800" s="9" t="s">
        <v>2154</v>
      </c>
      <c r="C800" s="12">
        <v>0.15</v>
      </c>
      <c r="D800" s="10">
        <v>0</v>
      </c>
      <c r="E800" s="10">
        <v>1</v>
      </c>
      <c r="F800" s="6">
        <v>0</v>
      </c>
      <c r="G800" s="6">
        <v>23</v>
      </c>
      <c r="H800" s="6">
        <v>0</v>
      </c>
      <c r="I800" s="11">
        <v>0.2</v>
      </c>
      <c r="J800">
        <v>1</v>
      </c>
    </row>
    <row r="801" spans="1:10" x14ac:dyDescent="0.45">
      <c r="A801" s="9">
        <v>852</v>
      </c>
      <c r="B801" s="9" t="s">
        <v>2155</v>
      </c>
      <c r="C801" s="12">
        <v>0.15</v>
      </c>
      <c r="D801" s="10">
        <v>0</v>
      </c>
      <c r="E801" s="10">
        <v>1</v>
      </c>
      <c r="F801" s="6">
        <v>0</v>
      </c>
      <c r="G801" s="6">
        <v>23</v>
      </c>
      <c r="H801" s="6">
        <v>0</v>
      </c>
      <c r="I801" s="11">
        <v>0.2</v>
      </c>
      <c r="J801">
        <v>1</v>
      </c>
    </row>
    <row r="802" spans="1:10" x14ac:dyDescent="0.45">
      <c r="A802" s="9">
        <v>853</v>
      </c>
      <c r="B802" s="9" t="s">
        <v>2156</v>
      </c>
      <c r="C802" s="12">
        <v>0.15</v>
      </c>
      <c r="D802" s="10">
        <v>0</v>
      </c>
      <c r="E802" s="10">
        <v>1</v>
      </c>
      <c r="F802" s="6">
        <v>0</v>
      </c>
      <c r="G802" s="6">
        <v>3</v>
      </c>
      <c r="H802" s="6">
        <v>0</v>
      </c>
      <c r="I802" s="11">
        <v>0.05</v>
      </c>
      <c r="J802">
        <v>1</v>
      </c>
    </row>
    <row r="803" spans="1:10" x14ac:dyDescent="0.45">
      <c r="A803" s="9">
        <v>854</v>
      </c>
      <c r="B803" s="9" t="s">
        <v>2157</v>
      </c>
      <c r="C803" s="12">
        <v>0.15</v>
      </c>
      <c r="D803" s="10">
        <v>0</v>
      </c>
      <c r="E803" s="10">
        <v>0</v>
      </c>
      <c r="F803" s="6">
        <v>0</v>
      </c>
      <c r="G803" s="6">
        <v>31</v>
      </c>
      <c r="H803" s="6">
        <v>0</v>
      </c>
      <c r="I803" s="11">
        <v>0</v>
      </c>
      <c r="J803">
        <v>1</v>
      </c>
    </row>
    <row r="804" spans="1:10" x14ac:dyDescent="0.45">
      <c r="A804" s="9">
        <v>855</v>
      </c>
      <c r="B804" s="9" t="s">
        <v>2158</v>
      </c>
      <c r="C804" s="12">
        <v>0.15</v>
      </c>
      <c r="D804" s="10">
        <v>0</v>
      </c>
      <c r="E804" s="10">
        <v>1</v>
      </c>
      <c r="F804" s="6">
        <v>0</v>
      </c>
      <c r="G804" s="6">
        <v>18</v>
      </c>
      <c r="H804" s="6">
        <v>0</v>
      </c>
      <c r="I804" s="11">
        <v>0.2</v>
      </c>
      <c r="J804">
        <v>1</v>
      </c>
    </row>
    <row r="805" spans="1:10" x14ac:dyDescent="0.45">
      <c r="A805" s="9">
        <v>856</v>
      </c>
      <c r="B805" s="9" t="s">
        <v>2159</v>
      </c>
      <c r="C805" s="12">
        <v>0.15</v>
      </c>
      <c r="D805" s="10">
        <v>0</v>
      </c>
      <c r="E805" s="10">
        <v>1</v>
      </c>
      <c r="F805" s="6">
        <v>0</v>
      </c>
      <c r="G805" s="6">
        <v>18</v>
      </c>
      <c r="H805" s="6">
        <v>0</v>
      </c>
      <c r="I805" s="11">
        <v>0.2</v>
      </c>
      <c r="J805">
        <v>1</v>
      </c>
    </row>
    <row r="806" spans="1:10" x14ac:dyDescent="0.45">
      <c r="A806" s="9">
        <v>857</v>
      </c>
      <c r="B806" s="9" t="s">
        <v>2160</v>
      </c>
      <c r="C806" s="12">
        <v>0.15</v>
      </c>
      <c r="D806" s="10">
        <v>0</v>
      </c>
      <c r="E806" s="10">
        <v>1</v>
      </c>
      <c r="F806" s="6">
        <v>0</v>
      </c>
      <c r="G806" s="6">
        <v>18</v>
      </c>
      <c r="H806" s="6">
        <v>0</v>
      </c>
      <c r="I806" s="11">
        <v>0.2</v>
      </c>
      <c r="J806">
        <v>1</v>
      </c>
    </row>
    <row r="807" spans="1:10" x14ac:dyDescent="0.45">
      <c r="A807" s="9">
        <v>858</v>
      </c>
      <c r="B807" s="9" t="s">
        <v>2161</v>
      </c>
      <c r="C807" s="12">
        <v>0.15</v>
      </c>
      <c r="D807" s="10">
        <v>0</v>
      </c>
      <c r="E807" s="10">
        <v>0</v>
      </c>
      <c r="F807" s="6">
        <v>0</v>
      </c>
      <c r="G807" s="6">
        <v>18</v>
      </c>
      <c r="H807" s="6">
        <v>0</v>
      </c>
      <c r="I807" s="11">
        <v>0</v>
      </c>
      <c r="J807">
        <v>1</v>
      </c>
    </row>
    <row r="808" spans="1:10" x14ac:dyDescent="0.45">
      <c r="A808" s="9">
        <v>859</v>
      </c>
      <c r="B808" s="9" t="s">
        <v>2162</v>
      </c>
      <c r="C808" s="12">
        <v>0.15</v>
      </c>
      <c r="D808" s="10">
        <v>0</v>
      </c>
      <c r="E808" s="10">
        <v>0</v>
      </c>
      <c r="F808" s="6">
        <v>0</v>
      </c>
      <c r="G808" s="6">
        <v>10</v>
      </c>
      <c r="H808" s="6">
        <v>0</v>
      </c>
      <c r="I808" s="11">
        <v>0</v>
      </c>
      <c r="J808">
        <v>1</v>
      </c>
    </row>
    <row r="809" spans="1:10" x14ac:dyDescent="0.45">
      <c r="A809" s="9">
        <v>860</v>
      </c>
      <c r="B809" s="9" t="s">
        <v>2163</v>
      </c>
      <c r="C809" s="12">
        <v>0.15</v>
      </c>
      <c r="D809" s="10">
        <v>0</v>
      </c>
      <c r="E809" s="10">
        <v>0</v>
      </c>
      <c r="F809" s="6">
        <v>0</v>
      </c>
      <c r="G809" s="6">
        <v>10</v>
      </c>
      <c r="H809" s="6">
        <v>0</v>
      </c>
      <c r="I809" s="11">
        <v>0</v>
      </c>
      <c r="J809">
        <v>1</v>
      </c>
    </row>
    <row r="810" spans="1:10" x14ac:dyDescent="0.45">
      <c r="A810" s="9">
        <v>861</v>
      </c>
      <c r="B810" s="9" t="s">
        <v>2164</v>
      </c>
      <c r="C810" s="12">
        <v>0.15</v>
      </c>
      <c r="D810" s="10">
        <v>0</v>
      </c>
      <c r="E810" s="10">
        <v>0</v>
      </c>
      <c r="F810" s="6">
        <v>0</v>
      </c>
      <c r="G810" s="6">
        <v>10</v>
      </c>
      <c r="H810" s="6">
        <v>0</v>
      </c>
      <c r="I810" s="11">
        <v>0</v>
      </c>
      <c r="J810">
        <v>1</v>
      </c>
    </row>
    <row r="811" spans="1:10" x14ac:dyDescent="0.45">
      <c r="A811" s="9">
        <v>862</v>
      </c>
      <c r="B811" s="9" t="s">
        <v>2165</v>
      </c>
      <c r="C811" s="12">
        <v>0.15</v>
      </c>
      <c r="D811" s="10">
        <v>0</v>
      </c>
      <c r="E811" s="10">
        <v>0</v>
      </c>
      <c r="F811" s="6">
        <v>0</v>
      </c>
      <c r="G811" s="6">
        <v>10</v>
      </c>
      <c r="H811" s="6">
        <v>0</v>
      </c>
      <c r="I811" s="11">
        <v>0</v>
      </c>
      <c r="J811">
        <v>1</v>
      </c>
    </row>
    <row r="812" spans="1:10" x14ac:dyDescent="0.45">
      <c r="A812" s="9">
        <v>863</v>
      </c>
      <c r="B812" s="9" t="s">
        <v>2166</v>
      </c>
      <c r="C812" s="12">
        <v>0.15</v>
      </c>
      <c r="D812" s="10">
        <v>0</v>
      </c>
      <c r="E812" s="10">
        <v>0</v>
      </c>
      <c r="F812" s="6">
        <v>0</v>
      </c>
      <c r="G812" s="6">
        <v>10</v>
      </c>
      <c r="H812" s="6">
        <v>0</v>
      </c>
      <c r="I812" s="11">
        <v>0.2</v>
      </c>
      <c r="J812">
        <v>1</v>
      </c>
    </row>
    <row r="813" spans="1:10" x14ac:dyDescent="0.45">
      <c r="A813" s="9">
        <v>864</v>
      </c>
      <c r="B813" s="9" t="s">
        <v>2167</v>
      </c>
      <c r="C813" s="12">
        <v>0.15</v>
      </c>
      <c r="D813" s="10">
        <v>0</v>
      </c>
      <c r="E813" s="10">
        <v>1</v>
      </c>
      <c r="F813" s="6">
        <v>0</v>
      </c>
      <c r="G813" s="6">
        <v>24</v>
      </c>
      <c r="H813" s="6">
        <v>0</v>
      </c>
      <c r="I813" s="11">
        <v>0.2</v>
      </c>
      <c r="J813">
        <v>1</v>
      </c>
    </row>
    <row r="814" spans="1:10" x14ac:dyDescent="0.45">
      <c r="A814" s="9">
        <v>865</v>
      </c>
      <c r="B814" s="9" t="s">
        <v>2168</v>
      </c>
      <c r="C814" s="12">
        <v>0.15</v>
      </c>
      <c r="D814" s="10">
        <v>0</v>
      </c>
      <c r="E814" s="10">
        <v>1</v>
      </c>
      <c r="F814" s="6">
        <v>0</v>
      </c>
      <c r="G814" s="6">
        <v>24</v>
      </c>
      <c r="H814" s="6">
        <v>0</v>
      </c>
      <c r="I814" s="11">
        <v>0.2</v>
      </c>
      <c r="J814">
        <v>1</v>
      </c>
    </row>
    <row r="815" spans="1:10" x14ac:dyDescent="0.45">
      <c r="A815" s="9">
        <v>866</v>
      </c>
      <c r="B815" s="9" t="s">
        <v>2169</v>
      </c>
      <c r="C815" s="12">
        <v>0.15</v>
      </c>
      <c r="D815" s="10">
        <v>0</v>
      </c>
      <c r="E815" s="10">
        <v>0</v>
      </c>
      <c r="F815" s="6">
        <v>0</v>
      </c>
      <c r="G815" s="6">
        <v>3</v>
      </c>
      <c r="H815" s="6">
        <v>0</v>
      </c>
      <c r="I815" s="11">
        <v>0</v>
      </c>
      <c r="J815">
        <v>1</v>
      </c>
    </row>
    <row r="816" spans="1:10" x14ac:dyDescent="0.45">
      <c r="A816" s="9">
        <v>867</v>
      </c>
      <c r="B816" s="9" t="s">
        <v>2170</v>
      </c>
      <c r="C816" s="12">
        <v>0.15</v>
      </c>
      <c r="D816" s="10">
        <v>0</v>
      </c>
      <c r="E816" s="10">
        <v>0</v>
      </c>
      <c r="F816" s="6">
        <v>0</v>
      </c>
      <c r="G816" s="6">
        <v>9</v>
      </c>
      <c r="H816" s="6">
        <v>0</v>
      </c>
      <c r="I816" s="11">
        <v>0</v>
      </c>
      <c r="J816">
        <v>1</v>
      </c>
    </row>
    <row r="817" spans="1:10" x14ac:dyDescent="0.45">
      <c r="A817" s="9">
        <v>868</v>
      </c>
      <c r="B817" s="9" t="s">
        <v>2171</v>
      </c>
      <c r="C817" s="12">
        <v>0.15</v>
      </c>
      <c r="D817" s="10">
        <v>0</v>
      </c>
      <c r="E817" s="10">
        <v>0</v>
      </c>
      <c r="F817" s="6">
        <v>0</v>
      </c>
      <c r="G817" s="6">
        <v>9</v>
      </c>
      <c r="H817" s="6">
        <v>0</v>
      </c>
      <c r="I817" s="11">
        <v>0</v>
      </c>
      <c r="J817">
        <v>1</v>
      </c>
    </row>
    <row r="818" spans="1:10" x14ac:dyDescent="0.45">
      <c r="A818" s="9">
        <v>869</v>
      </c>
      <c r="B818" s="9" t="s">
        <v>2172</v>
      </c>
      <c r="C818" s="12">
        <v>0.15</v>
      </c>
      <c r="D818" s="10">
        <v>0</v>
      </c>
      <c r="E818" s="10">
        <v>0</v>
      </c>
      <c r="F818" s="6">
        <v>0</v>
      </c>
      <c r="G818" s="6">
        <v>9</v>
      </c>
      <c r="H818" s="6">
        <v>0</v>
      </c>
      <c r="I818" s="11">
        <v>0</v>
      </c>
      <c r="J818">
        <v>1</v>
      </c>
    </row>
    <row r="819" spans="1:10" x14ac:dyDescent="0.45">
      <c r="A819" s="9">
        <v>870</v>
      </c>
      <c r="B819" s="9" t="s">
        <v>2173</v>
      </c>
      <c r="C819" s="12">
        <v>0.15</v>
      </c>
      <c r="D819" s="10">
        <v>0</v>
      </c>
      <c r="E819" s="10">
        <v>0</v>
      </c>
      <c r="F819" s="6">
        <v>0</v>
      </c>
      <c r="G819" s="6">
        <v>9</v>
      </c>
      <c r="H819" s="6">
        <v>0</v>
      </c>
      <c r="I819" s="11">
        <v>0</v>
      </c>
      <c r="J819">
        <v>1</v>
      </c>
    </row>
    <row r="820" spans="1:10" x14ac:dyDescent="0.45">
      <c r="A820" s="9">
        <v>871</v>
      </c>
      <c r="B820" s="9" t="s">
        <v>2174</v>
      </c>
      <c r="C820" s="12">
        <v>0.15</v>
      </c>
      <c r="D820" s="10">
        <v>0</v>
      </c>
      <c r="E820" s="10">
        <v>1</v>
      </c>
      <c r="F820" s="6">
        <v>0</v>
      </c>
      <c r="G820" s="6">
        <v>9</v>
      </c>
      <c r="H820" s="6">
        <v>0</v>
      </c>
      <c r="I820" s="11">
        <v>0.1</v>
      </c>
      <c r="J820">
        <v>1</v>
      </c>
    </row>
    <row r="821" spans="1:10" x14ac:dyDescent="0.45">
      <c r="A821" s="9">
        <v>872</v>
      </c>
      <c r="B821" s="9" t="s">
        <v>2175</v>
      </c>
      <c r="C821" s="12">
        <v>0.15</v>
      </c>
      <c r="D821" s="10">
        <v>0</v>
      </c>
      <c r="E821" s="10">
        <v>1</v>
      </c>
      <c r="F821" s="6">
        <v>0</v>
      </c>
      <c r="G821" s="6">
        <v>9</v>
      </c>
      <c r="H821" s="6">
        <v>0</v>
      </c>
      <c r="I821" s="11">
        <v>0</v>
      </c>
      <c r="J821">
        <v>1</v>
      </c>
    </row>
    <row r="822" spans="1:10" x14ac:dyDescent="0.45">
      <c r="A822" s="9">
        <v>873</v>
      </c>
      <c r="B822" s="9" t="s">
        <v>2176</v>
      </c>
      <c r="C822" s="12">
        <v>0.15</v>
      </c>
      <c r="D822" s="10">
        <v>0</v>
      </c>
      <c r="E822" s="10">
        <v>1</v>
      </c>
      <c r="F822" s="6">
        <v>0</v>
      </c>
      <c r="G822" s="6">
        <v>24</v>
      </c>
      <c r="H822" s="6">
        <v>0</v>
      </c>
      <c r="I822" s="11">
        <v>0.2</v>
      </c>
      <c r="J822">
        <v>1</v>
      </c>
    </row>
    <row r="823" spans="1:10" x14ac:dyDescent="0.45">
      <c r="A823" s="9">
        <v>874</v>
      </c>
      <c r="B823" s="9" t="s">
        <v>2177</v>
      </c>
      <c r="C823" s="12">
        <v>0.15</v>
      </c>
      <c r="D823" s="10">
        <v>0</v>
      </c>
      <c r="E823" s="10">
        <v>1</v>
      </c>
      <c r="F823" s="6">
        <v>0</v>
      </c>
      <c r="G823" s="6">
        <v>23</v>
      </c>
      <c r="H823" s="6">
        <v>0</v>
      </c>
      <c r="I823" s="11">
        <v>0.2</v>
      </c>
      <c r="J823">
        <v>1</v>
      </c>
    </row>
    <row r="824" spans="1:10" x14ac:dyDescent="0.45">
      <c r="A824" s="9">
        <v>875</v>
      </c>
      <c r="B824" s="9" t="s">
        <v>2178</v>
      </c>
      <c r="C824" s="12">
        <v>0</v>
      </c>
      <c r="D824" s="10">
        <v>1</v>
      </c>
      <c r="E824" s="10">
        <v>0</v>
      </c>
      <c r="F824" s="6">
        <v>0</v>
      </c>
      <c r="G824" s="6">
        <v>5</v>
      </c>
      <c r="H824" s="6">
        <v>0</v>
      </c>
      <c r="I824" s="11">
        <v>0</v>
      </c>
      <c r="J824">
        <v>1</v>
      </c>
    </row>
    <row r="825" spans="1:10" x14ac:dyDescent="0.45">
      <c r="A825" s="9">
        <v>876</v>
      </c>
      <c r="B825" s="9" t="s">
        <v>2179</v>
      </c>
      <c r="C825" s="12">
        <v>0.15</v>
      </c>
      <c r="D825" s="10">
        <v>0</v>
      </c>
      <c r="E825" s="10">
        <v>1</v>
      </c>
      <c r="F825" s="6">
        <v>0</v>
      </c>
      <c r="G825" s="6">
        <v>23</v>
      </c>
      <c r="H825" s="6">
        <v>0</v>
      </c>
      <c r="I825" s="11">
        <v>0.2</v>
      </c>
      <c r="J825">
        <v>1</v>
      </c>
    </row>
    <row r="826" spans="1:10" x14ac:dyDescent="0.45">
      <c r="A826" s="9">
        <v>877</v>
      </c>
      <c r="B826" s="9" t="s">
        <v>2180</v>
      </c>
      <c r="C826" s="12">
        <v>0.15</v>
      </c>
      <c r="D826" s="10">
        <v>0</v>
      </c>
      <c r="E826" s="10">
        <v>0</v>
      </c>
      <c r="F826" s="6">
        <v>0</v>
      </c>
      <c r="G826" s="6">
        <v>24</v>
      </c>
      <c r="H826" s="6">
        <v>0</v>
      </c>
      <c r="I826" s="11">
        <v>0.2</v>
      </c>
      <c r="J826">
        <v>1</v>
      </c>
    </row>
    <row r="827" spans="1:10" x14ac:dyDescent="0.45">
      <c r="A827" s="9">
        <v>878</v>
      </c>
      <c r="B827" s="9" t="s">
        <v>2181</v>
      </c>
      <c r="C827" s="12">
        <v>0.15</v>
      </c>
      <c r="D827" s="10">
        <v>0</v>
      </c>
      <c r="E827" s="10">
        <v>1</v>
      </c>
      <c r="F827" s="6">
        <v>0</v>
      </c>
      <c r="G827" s="6">
        <v>10</v>
      </c>
      <c r="H827" s="6">
        <v>0</v>
      </c>
      <c r="I827" s="11">
        <v>0.2</v>
      </c>
      <c r="J827">
        <v>1</v>
      </c>
    </row>
    <row r="828" spans="1:10" x14ac:dyDescent="0.45">
      <c r="A828" s="9">
        <v>879</v>
      </c>
      <c r="B828" s="9" t="s">
        <v>2182</v>
      </c>
      <c r="C828" s="12">
        <v>0.15</v>
      </c>
      <c r="D828" s="10">
        <v>0</v>
      </c>
      <c r="E828" s="10">
        <v>1</v>
      </c>
      <c r="F828" s="6">
        <v>0</v>
      </c>
      <c r="G828" s="6">
        <v>24</v>
      </c>
      <c r="H828" s="6">
        <v>0</v>
      </c>
      <c r="I828" s="11">
        <v>0.35</v>
      </c>
      <c r="J828">
        <v>1</v>
      </c>
    </row>
    <row r="829" spans="1:10" x14ac:dyDescent="0.45">
      <c r="A829" s="9">
        <v>880</v>
      </c>
      <c r="B829" s="9" t="s">
        <v>2183</v>
      </c>
      <c r="C829" s="12">
        <v>0.15</v>
      </c>
      <c r="D829" s="10">
        <v>0</v>
      </c>
      <c r="E829" s="10">
        <v>1</v>
      </c>
      <c r="F829" s="6">
        <v>0</v>
      </c>
      <c r="G829" s="6">
        <v>3</v>
      </c>
      <c r="H829" s="6">
        <v>0</v>
      </c>
      <c r="I829" s="11">
        <v>0.05</v>
      </c>
      <c r="J829">
        <v>1</v>
      </c>
    </row>
    <row r="830" spans="1:10" x14ac:dyDescent="0.45">
      <c r="A830" s="9">
        <v>881</v>
      </c>
      <c r="B830" s="9" t="s">
        <v>2184</v>
      </c>
      <c r="C830" s="12">
        <v>0.15</v>
      </c>
      <c r="D830" s="10">
        <v>0</v>
      </c>
      <c r="E830" s="10">
        <v>1</v>
      </c>
      <c r="F830" s="6">
        <v>0</v>
      </c>
      <c r="G830" s="6">
        <v>7</v>
      </c>
      <c r="H830" s="6">
        <v>0</v>
      </c>
      <c r="I830" s="11">
        <v>0</v>
      </c>
      <c r="J830">
        <v>1</v>
      </c>
    </row>
    <row r="831" spans="1:10" x14ac:dyDescent="0.45">
      <c r="A831" s="9">
        <v>882</v>
      </c>
      <c r="B831" s="9" t="s">
        <v>2185</v>
      </c>
      <c r="C831" s="12">
        <v>0.15</v>
      </c>
      <c r="D831" s="10">
        <v>0</v>
      </c>
      <c r="E831" s="10">
        <v>1</v>
      </c>
      <c r="F831" s="6">
        <v>0</v>
      </c>
      <c r="G831" s="6">
        <v>9</v>
      </c>
      <c r="H831" s="6">
        <v>0</v>
      </c>
      <c r="I831" s="11">
        <v>0.2</v>
      </c>
      <c r="J831">
        <v>1</v>
      </c>
    </row>
    <row r="832" spans="1:10" x14ac:dyDescent="0.45">
      <c r="A832" s="9">
        <v>883</v>
      </c>
      <c r="B832" s="9" t="s">
        <v>2186</v>
      </c>
      <c r="C832" s="12">
        <v>0.15</v>
      </c>
      <c r="D832" s="10">
        <v>0</v>
      </c>
      <c r="E832" s="10">
        <v>1</v>
      </c>
      <c r="F832" s="6">
        <v>0</v>
      </c>
      <c r="G832" s="6">
        <v>9</v>
      </c>
      <c r="H832" s="6">
        <v>0</v>
      </c>
      <c r="I832" s="11">
        <v>0.2</v>
      </c>
      <c r="J832">
        <v>1</v>
      </c>
    </row>
    <row r="833" spans="1:10" x14ac:dyDescent="0.45">
      <c r="A833" s="9">
        <v>884</v>
      </c>
      <c r="B833" s="9" t="s">
        <v>2187</v>
      </c>
      <c r="C833" s="12">
        <v>0.15</v>
      </c>
      <c r="D833" s="10">
        <v>0</v>
      </c>
      <c r="E833" s="10">
        <v>1</v>
      </c>
      <c r="F833" s="6">
        <v>0</v>
      </c>
      <c r="G833" s="6">
        <v>9</v>
      </c>
      <c r="H833" s="6">
        <v>0</v>
      </c>
      <c r="I833" s="11">
        <v>0.2</v>
      </c>
      <c r="J833">
        <v>1</v>
      </c>
    </row>
    <row r="834" spans="1:10" x14ac:dyDescent="0.45">
      <c r="A834" s="9">
        <v>885</v>
      </c>
      <c r="B834" s="9" t="s">
        <v>2188</v>
      </c>
      <c r="C834" s="12">
        <v>0</v>
      </c>
      <c r="D834" s="10">
        <v>1</v>
      </c>
      <c r="E834" s="10">
        <v>0</v>
      </c>
      <c r="F834" s="6">
        <v>0</v>
      </c>
      <c r="G834" s="6">
        <v>1</v>
      </c>
      <c r="H834" s="6">
        <v>0</v>
      </c>
      <c r="I834" s="11">
        <v>0</v>
      </c>
      <c r="J834">
        <v>1</v>
      </c>
    </row>
    <row r="835" spans="1:10" x14ac:dyDescent="0.45">
      <c r="A835" s="9">
        <v>886</v>
      </c>
      <c r="B835" s="9" t="s">
        <v>2189</v>
      </c>
      <c r="C835" s="12">
        <v>0</v>
      </c>
      <c r="D835" s="10">
        <v>1</v>
      </c>
      <c r="E835" s="10">
        <v>1</v>
      </c>
      <c r="F835" s="6">
        <v>0</v>
      </c>
      <c r="G835" s="6">
        <v>1</v>
      </c>
      <c r="H835" s="6">
        <v>0</v>
      </c>
      <c r="I835" s="11">
        <v>0</v>
      </c>
      <c r="J835">
        <v>1</v>
      </c>
    </row>
    <row r="836" spans="1:10" x14ac:dyDescent="0.45">
      <c r="A836" s="9">
        <v>887</v>
      </c>
      <c r="B836" s="9" t="s">
        <v>2190</v>
      </c>
      <c r="C836" s="12">
        <v>0.15</v>
      </c>
      <c r="D836" s="10">
        <v>0</v>
      </c>
      <c r="E836" s="10">
        <v>0</v>
      </c>
      <c r="F836" s="6">
        <v>0</v>
      </c>
      <c r="G836" s="6">
        <v>24</v>
      </c>
      <c r="H836" s="6">
        <v>0</v>
      </c>
      <c r="I836" s="11">
        <v>0</v>
      </c>
      <c r="J836">
        <v>1</v>
      </c>
    </row>
    <row r="837" spans="1:10" x14ac:dyDescent="0.45">
      <c r="A837" s="9">
        <v>888</v>
      </c>
      <c r="B837" s="9" t="s">
        <v>2191</v>
      </c>
      <c r="C837" s="12">
        <v>0.15</v>
      </c>
      <c r="D837" s="10">
        <v>0</v>
      </c>
      <c r="E837" s="10">
        <v>1</v>
      </c>
      <c r="F837" s="6">
        <v>0</v>
      </c>
      <c r="G837" s="6">
        <v>24</v>
      </c>
      <c r="H837" s="6">
        <v>0</v>
      </c>
      <c r="I837" s="11">
        <v>0.2</v>
      </c>
      <c r="J837">
        <v>1</v>
      </c>
    </row>
    <row r="838" spans="1:10" x14ac:dyDescent="0.45">
      <c r="A838" s="9">
        <v>889</v>
      </c>
      <c r="B838" s="9" t="s">
        <v>2192</v>
      </c>
      <c r="C838" s="12">
        <v>0</v>
      </c>
      <c r="D838" s="10">
        <v>1</v>
      </c>
      <c r="E838" s="10">
        <v>0</v>
      </c>
      <c r="F838" s="6">
        <v>0</v>
      </c>
      <c r="G838" s="6">
        <v>5</v>
      </c>
      <c r="H838" s="6">
        <v>0</v>
      </c>
      <c r="I838" s="11">
        <v>0</v>
      </c>
      <c r="J838">
        <v>1</v>
      </c>
    </row>
    <row r="839" spans="1:10" x14ac:dyDescent="0.45">
      <c r="A839" s="9">
        <v>890</v>
      </c>
      <c r="B839" s="9" t="s">
        <v>2193</v>
      </c>
      <c r="C839" s="12">
        <v>0</v>
      </c>
      <c r="D839" s="10">
        <v>1</v>
      </c>
      <c r="E839" s="10">
        <v>0</v>
      </c>
      <c r="F839" s="6">
        <v>0</v>
      </c>
      <c r="G839" s="6">
        <v>5</v>
      </c>
      <c r="H839" s="6">
        <v>0</v>
      </c>
      <c r="I839" s="11">
        <v>0</v>
      </c>
      <c r="J839">
        <v>1</v>
      </c>
    </row>
    <row r="840" spans="1:10" x14ac:dyDescent="0.45">
      <c r="A840" s="9">
        <v>891</v>
      </c>
      <c r="B840" s="9" t="s">
        <v>2194</v>
      </c>
      <c r="C840" s="12">
        <v>0.15</v>
      </c>
      <c r="D840" s="10">
        <v>0</v>
      </c>
      <c r="E840" s="10">
        <v>0</v>
      </c>
      <c r="F840" s="6">
        <v>0</v>
      </c>
      <c r="G840" s="6">
        <v>3</v>
      </c>
      <c r="H840" s="6">
        <v>0</v>
      </c>
      <c r="I840" s="11">
        <v>0</v>
      </c>
      <c r="J840">
        <v>1</v>
      </c>
    </row>
    <row r="841" spans="1:10" x14ac:dyDescent="0.45">
      <c r="A841" s="9">
        <v>892</v>
      </c>
      <c r="B841" s="9" t="s">
        <v>2195</v>
      </c>
      <c r="C841" s="12">
        <v>0.15</v>
      </c>
      <c r="D841" s="10">
        <v>0</v>
      </c>
      <c r="E841" s="10">
        <v>1</v>
      </c>
      <c r="F841" s="6">
        <v>0</v>
      </c>
      <c r="G841" s="6">
        <v>24</v>
      </c>
      <c r="H841" s="6">
        <v>0</v>
      </c>
      <c r="I841" s="11">
        <v>0.2</v>
      </c>
      <c r="J841">
        <v>1</v>
      </c>
    </row>
    <row r="842" spans="1:10" x14ac:dyDescent="0.45">
      <c r="A842" s="9">
        <v>893</v>
      </c>
      <c r="B842" s="9" t="s">
        <v>2196</v>
      </c>
      <c r="C842" s="12">
        <v>0.15</v>
      </c>
      <c r="D842" s="10">
        <v>0</v>
      </c>
      <c r="E842" s="10">
        <v>1</v>
      </c>
      <c r="F842" s="6">
        <v>0</v>
      </c>
      <c r="G842" s="6">
        <v>10</v>
      </c>
      <c r="H842" s="6">
        <v>0</v>
      </c>
      <c r="I842" s="11">
        <v>0.2</v>
      </c>
      <c r="J842">
        <v>1</v>
      </c>
    </row>
    <row r="843" spans="1:10" x14ac:dyDescent="0.45">
      <c r="A843" s="9">
        <v>894</v>
      </c>
      <c r="B843" s="9" t="s">
        <v>2197</v>
      </c>
      <c r="C843" s="12">
        <v>0.15</v>
      </c>
      <c r="D843" s="10">
        <v>0</v>
      </c>
      <c r="E843" s="10">
        <v>0</v>
      </c>
      <c r="F843" s="6">
        <v>0</v>
      </c>
      <c r="G843" s="6">
        <v>11</v>
      </c>
      <c r="H843" s="6">
        <v>0</v>
      </c>
      <c r="I843" s="11">
        <v>0.2</v>
      </c>
      <c r="J843">
        <v>1</v>
      </c>
    </row>
    <row r="844" spans="1:10" x14ac:dyDescent="0.45">
      <c r="A844" s="9">
        <v>895</v>
      </c>
      <c r="B844" s="9" t="s">
        <v>2198</v>
      </c>
      <c r="C844" s="12">
        <v>0.15</v>
      </c>
      <c r="D844" s="10">
        <v>0</v>
      </c>
      <c r="E844" s="10">
        <v>0</v>
      </c>
      <c r="F844" s="6">
        <v>0</v>
      </c>
      <c r="G844" s="6">
        <v>24</v>
      </c>
      <c r="H844" s="6">
        <v>0</v>
      </c>
      <c r="I844" s="11">
        <v>0.2</v>
      </c>
      <c r="J844">
        <v>1</v>
      </c>
    </row>
    <row r="845" spans="1:10" x14ac:dyDescent="0.45">
      <c r="A845" s="9">
        <v>896</v>
      </c>
      <c r="B845" s="9" t="s">
        <v>2199</v>
      </c>
      <c r="C845" s="12">
        <v>0.15</v>
      </c>
      <c r="D845" s="10">
        <v>0</v>
      </c>
      <c r="E845" s="10">
        <v>0</v>
      </c>
      <c r="F845" s="6">
        <v>0</v>
      </c>
      <c r="G845" s="6">
        <v>24</v>
      </c>
      <c r="H845" s="6">
        <v>0</v>
      </c>
      <c r="I845" s="11">
        <v>0.2</v>
      </c>
      <c r="J845">
        <v>1</v>
      </c>
    </row>
    <row r="846" spans="1:10" x14ac:dyDescent="0.45">
      <c r="A846" s="9">
        <v>897</v>
      </c>
      <c r="B846" s="9" t="s">
        <v>2200</v>
      </c>
      <c r="C846" s="12">
        <v>0.15</v>
      </c>
      <c r="D846" s="10">
        <v>0</v>
      </c>
      <c r="E846" s="10">
        <v>1</v>
      </c>
      <c r="F846" s="6">
        <v>0</v>
      </c>
      <c r="G846" s="6">
        <v>24</v>
      </c>
      <c r="H846" s="6">
        <v>0</v>
      </c>
      <c r="I846" s="11">
        <v>0.2</v>
      </c>
      <c r="J846">
        <v>1</v>
      </c>
    </row>
    <row r="847" spans="1:10" x14ac:dyDescent="0.45">
      <c r="A847" s="9">
        <v>898</v>
      </c>
      <c r="B847" s="9" t="s">
        <v>2201</v>
      </c>
      <c r="C847" s="12">
        <v>0</v>
      </c>
      <c r="D847" s="10">
        <v>1</v>
      </c>
      <c r="E847" s="10">
        <v>0</v>
      </c>
      <c r="F847" s="6">
        <v>0</v>
      </c>
      <c r="G847" s="6">
        <v>1</v>
      </c>
      <c r="H847" s="6">
        <v>0</v>
      </c>
      <c r="I847" s="11">
        <v>0</v>
      </c>
      <c r="J847">
        <v>1</v>
      </c>
    </row>
    <row r="848" spans="1:10" x14ac:dyDescent="0.45">
      <c r="A848" s="9">
        <v>899</v>
      </c>
      <c r="B848" s="9" t="s">
        <v>2202</v>
      </c>
      <c r="C848" s="12">
        <v>0.15</v>
      </c>
      <c r="D848" s="10">
        <v>0</v>
      </c>
      <c r="E848" s="10">
        <v>1</v>
      </c>
      <c r="F848" s="6">
        <v>0</v>
      </c>
      <c r="G848" s="6">
        <v>24</v>
      </c>
      <c r="H848" s="6">
        <v>0</v>
      </c>
      <c r="I848" s="11">
        <v>0.2</v>
      </c>
      <c r="J848">
        <v>1</v>
      </c>
    </row>
    <row r="849" spans="1:10" x14ac:dyDescent="0.45">
      <c r="A849" s="9">
        <v>900</v>
      </c>
      <c r="B849" s="9" t="s">
        <v>2203</v>
      </c>
      <c r="C849" s="12">
        <v>0</v>
      </c>
      <c r="D849" s="10">
        <v>1</v>
      </c>
      <c r="E849" s="10">
        <v>1</v>
      </c>
      <c r="F849" s="6">
        <v>0</v>
      </c>
      <c r="G849" s="6">
        <v>3</v>
      </c>
      <c r="H849" s="6">
        <v>0</v>
      </c>
      <c r="I849" s="11">
        <v>0</v>
      </c>
      <c r="J849">
        <v>1</v>
      </c>
    </row>
    <row r="850" spans="1:10" x14ac:dyDescent="0.45">
      <c r="A850" s="9">
        <v>901</v>
      </c>
      <c r="B850" s="9" t="s">
        <v>2204</v>
      </c>
      <c r="C850" s="12">
        <v>0</v>
      </c>
      <c r="D850" s="10">
        <v>1</v>
      </c>
      <c r="E850" s="10">
        <v>0</v>
      </c>
      <c r="F850" s="6">
        <v>0</v>
      </c>
      <c r="G850" s="6">
        <v>23</v>
      </c>
      <c r="H850" s="6">
        <v>0</v>
      </c>
      <c r="I850" s="11">
        <v>0.05</v>
      </c>
      <c r="J850">
        <v>1</v>
      </c>
    </row>
    <row r="851" spans="1:10" x14ac:dyDescent="0.45">
      <c r="A851" s="9">
        <v>902</v>
      </c>
      <c r="B851" s="9" t="s">
        <v>2205</v>
      </c>
      <c r="C851" s="12">
        <v>0.15</v>
      </c>
      <c r="D851" s="10">
        <v>0</v>
      </c>
      <c r="E851" s="10">
        <v>1</v>
      </c>
      <c r="F851" s="6">
        <v>0</v>
      </c>
      <c r="G851" s="6">
        <v>7</v>
      </c>
      <c r="H851" s="6">
        <v>0</v>
      </c>
      <c r="I851" s="11">
        <v>0.2</v>
      </c>
      <c r="J851">
        <v>1</v>
      </c>
    </row>
    <row r="852" spans="1:10" x14ac:dyDescent="0.45">
      <c r="A852" s="9">
        <v>903</v>
      </c>
      <c r="B852" s="9" t="s">
        <v>2206</v>
      </c>
      <c r="C852" s="12">
        <v>0.15</v>
      </c>
      <c r="D852" s="10">
        <v>0</v>
      </c>
      <c r="E852" s="10">
        <v>1</v>
      </c>
      <c r="F852" s="6">
        <v>0</v>
      </c>
      <c r="G852" s="6">
        <v>7</v>
      </c>
      <c r="H852" s="6">
        <v>0</v>
      </c>
      <c r="I852" s="11">
        <v>0.2</v>
      </c>
      <c r="J852">
        <v>1</v>
      </c>
    </row>
    <row r="853" spans="1:10" x14ac:dyDescent="0.45">
      <c r="A853" s="9">
        <v>904</v>
      </c>
      <c r="B853" s="9" t="s">
        <v>2207</v>
      </c>
      <c r="C853" s="12">
        <v>0.15</v>
      </c>
      <c r="D853" s="10">
        <v>0</v>
      </c>
      <c r="E853" s="10">
        <v>1</v>
      </c>
      <c r="F853" s="6">
        <v>0</v>
      </c>
      <c r="G853" s="6">
        <v>23</v>
      </c>
      <c r="H853" s="6">
        <v>0</v>
      </c>
      <c r="I853" s="11">
        <v>0.2</v>
      </c>
      <c r="J853">
        <v>1</v>
      </c>
    </row>
    <row r="854" spans="1:10" x14ac:dyDescent="0.45">
      <c r="A854" s="9">
        <v>905</v>
      </c>
      <c r="B854" s="9" t="s">
        <v>2208</v>
      </c>
      <c r="C854" s="12">
        <v>0.15</v>
      </c>
      <c r="D854" s="10">
        <v>0</v>
      </c>
      <c r="E854" s="10">
        <v>1</v>
      </c>
      <c r="F854" s="6">
        <v>0</v>
      </c>
      <c r="G854" s="6">
        <v>24</v>
      </c>
      <c r="H854" s="6">
        <v>0</v>
      </c>
      <c r="I854" s="11">
        <v>0.35</v>
      </c>
      <c r="J854">
        <v>1</v>
      </c>
    </row>
    <row r="855" spans="1:10" x14ac:dyDescent="0.45">
      <c r="A855" s="9">
        <v>906</v>
      </c>
      <c r="B855" s="9" t="s">
        <v>2209</v>
      </c>
      <c r="C855" s="12">
        <v>0.15</v>
      </c>
      <c r="D855" s="10">
        <v>0</v>
      </c>
      <c r="E855" s="10">
        <v>0</v>
      </c>
      <c r="F855" s="6">
        <v>0</v>
      </c>
      <c r="G855" s="6">
        <v>1</v>
      </c>
      <c r="H855" s="6">
        <v>0</v>
      </c>
      <c r="I855" s="11">
        <v>0</v>
      </c>
      <c r="J855">
        <v>1</v>
      </c>
    </row>
    <row r="856" spans="1:10" x14ac:dyDescent="0.45">
      <c r="A856" s="9">
        <v>907</v>
      </c>
      <c r="B856" s="9" t="s">
        <v>543</v>
      </c>
      <c r="C856" s="12">
        <v>0.15</v>
      </c>
      <c r="D856" s="10">
        <v>0</v>
      </c>
      <c r="E856" s="10">
        <v>1</v>
      </c>
      <c r="F856" s="6">
        <v>0</v>
      </c>
      <c r="G856" s="6">
        <v>24</v>
      </c>
      <c r="H856" s="6">
        <v>0</v>
      </c>
      <c r="I856" s="11">
        <v>0.35</v>
      </c>
      <c r="J856">
        <v>1</v>
      </c>
    </row>
    <row r="857" spans="1:10" x14ac:dyDescent="0.45">
      <c r="A857" s="9">
        <v>908</v>
      </c>
      <c r="B857" s="9" t="s">
        <v>2210</v>
      </c>
      <c r="C857" s="12">
        <v>0.15</v>
      </c>
      <c r="D857" s="10">
        <v>0</v>
      </c>
      <c r="E857" s="10">
        <v>1</v>
      </c>
      <c r="F857" s="6">
        <v>0</v>
      </c>
      <c r="G857" s="6">
        <v>24</v>
      </c>
      <c r="H857" s="6">
        <v>0</v>
      </c>
      <c r="I857" s="11">
        <v>0.2</v>
      </c>
      <c r="J857">
        <v>1</v>
      </c>
    </row>
    <row r="858" spans="1:10" x14ac:dyDescent="0.45">
      <c r="A858" s="9">
        <v>909</v>
      </c>
      <c r="B858" s="9" t="s">
        <v>2211</v>
      </c>
      <c r="C858" s="12">
        <v>0.15</v>
      </c>
      <c r="D858" s="10">
        <v>0</v>
      </c>
      <c r="E858" s="10">
        <v>1</v>
      </c>
      <c r="F858" s="6">
        <v>0</v>
      </c>
      <c r="G858" s="6">
        <v>24</v>
      </c>
      <c r="H858" s="6">
        <v>0</v>
      </c>
      <c r="I858" s="11">
        <v>0.2</v>
      </c>
      <c r="J858">
        <v>1</v>
      </c>
    </row>
    <row r="859" spans="1:10" x14ac:dyDescent="0.45">
      <c r="A859" s="9">
        <v>910</v>
      </c>
      <c r="B859" s="9" t="s">
        <v>2212</v>
      </c>
      <c r="C859" s="12">
        <v>0.15</v>
      </c>
      <c r="D859" s="10">
        <v>0</v>
      </c>
      <c r="E859" s="10">
        <v>1</v>
      </c>
      <c r="F859" s="6">
        <v>0</v>
      </c>
      <c r="G859" s="6">
        <v>23</v>
      </c>
      <c r="H859" s="6">
        <v>0</v>
      </c>
      <c r="I859" s="11">
        <v>0.2</v>
      </c>
      <c r="J859">
        <v>1</v>
      </c>
    </row>
    <row r="860" spans="1:10" x14ac:dyDescent="0.45">
      <c r="A860" s="9">
        <v>911</v>
      </c>
      <c r="B860" s="9" t="s">
        <v>2213</v>
      </c>
      <c r="C860" s="12">
        <v>0.15</v>
      </c>
      <c r="D860" s="10">
        <v>0</v>
      </c>
      <c r="E860" s="10">
        <v>1</v>
      </c>
      <c r="F860" s="6">
        <v>0</v>
      </c>
      <c r="G860" s="6">
        <v>24</v>
      </c>
      <c r="H860" s="6">
        <v>0</v>
      </c>
      <c r="I860" s="11">
        <v>0.2</v>
      </c>
      <c r="J860">
        <v>1</v>
      </c>
    </row>
    <row r="861" spans="1:10" x14ac:dyDescent="0.45">
      <c r="A861" s="9">
        <v>912</v>
      </c>
      <c r="B861" s="9" t="s">
        <v>2214</v>
      </c>
      <c r="C861" s="12">
        <v>0.15</v>
      </c>
      <c r="D861" s="10">
        <v>0</v>
      </c>
      <c r="E861" s="10">
        <v>0</v>
      </c>
      <c r="F861" s="6">
        <v>0</v>
      </c>
      <c r="G861" s="6">
        <v>29</v>
      </c>
      <c r="H861" s="6">
        <v>0</v>
      </c>
      <c r="I861" s="11">
        <v>0</v>
      </c>
      <c r="J861">
        <v>1</v>
      </c>
    </row>
    <row r="862" spans="1:10" x14ac:dyDescent="0.45">
      <c r="A862" s="9">
        <v>913</v>
      </c>
      <c r="B862" s="9" t="s">
        <v>2215</v>
      </c>
      <c r="C862" s="12">
        <v>0.15</v>
      </c>
      <c r="D862" s="10">
        <v>0</v>
      </c>
      <c r="E862" s="10">
        <v>0</v>
      </c>
      <c r="F862" s="6">
        <v>0</v>
      </c>
      <c r="G862" s="6">
        <v>7</v>
      </c>
      <c r="H862" s="6">
        <v>0</v>
      </c>
      <c r="I862" s="11">
        <v>0</v>
      </c>
      <c r="J862">
        <v>1</v>
      </c>
    </row>
    <row r="863" spans="1:10" x14ac:dyDescent="0.45">
      <c r="A863" s="9">
        <v>914</v>
      </c>
      <c r="B863" s="9" t="s">
        <v>2216</v>
      </c>
      <c r="C863" s="12">
        <v>0.15</v>
      </c>
      <c r="D863" s="10">
        <v>0</v>
      </c>
      <c r="E863" s="10">
        <v>1</v>
      </c>
      <c r="F863" s="6">
        <v>0</v>
      </c>
      <c r="G863" s="6">
        <v>11</v>
      </c>
      <c r="H863" s="6">
        <v>0</v>
      </c>
      <c r="I863" s="11">
        <v>0.2</v>
      </c>
      <c r="J863">
        <v>1</v>
      </c>
    </row>
    <row r="864" spans="1:10" x14ac:dyDescent="0.45">
      <c r="A864" s="9">
        <v>915</v>
      </c>
      <c r="B864" s="9" t="s">
        <v>2217</v>
      </c>
      <c r="C864" s="12">
        <v>0.15</v>
      </c>
      <c r="D864" s="10">
        <v>0</v>
      </c>
      <c r="E864" s="10">
        <v>1</v>
      </c>
      <c r="F864" s="6">
        <v>0</v>
      </c>
      <c r="G864" s="6">
        <v>24</v>
      </c>
      <c r="H864" s="6">
        <v>0</v>
      </c>
      <c r="I864" s="11">
        <v>0.2</v>
      </c>
      <c r="J864">
        <v>1</v>
      </c>
    </row>
    <row r="865" spans="1:10" x14ac:dyDescent="0.45">
      <c r="A865" s="9">
        <v>916</v>
      </c>
      <c r="B865" s="9" t="s">
        <v>2218</v>
      </c>
      <c r="C865" s="12">
        <v>0.15</v>
      </c>
      <c r="D865" s="10">
        <v>0</v>
      </c>
      <c r="E865" s="10">
        <v>1</v>
      </c>
      <c r="F865" s="6">
        <v>0</v>
      </c>
      <c r="G865" s="6">
        <v>24</v>
      </c>
      <c r="H865" s="6">
        <v>0</v>
      </c>
      <c r="I865" s="11">
        <v>0.2</v>
      </c>
      <c r="J865">
        <v>1</v>
      </c>
    </row>
    <row r="866" spans="1:10" x14ac:dyDescent="0.45">
      <c r="A866" s="9">
        <v>917</v>
      </c>
      <c r="B866" s="9" t="s">
        <v>2219</v>
      </c>
      <c r="C866" s="12">
        <v>0.15</v>
      </c>
      <c r="D866" s="10">
        <v>0</v>
      </c>
      <c r="E866" s="10">
        <v>0</v>
      </c>
      <c r="F866" s="6">
        <v>0</v>
      </c>
      <c r="G866" s="6">
        <v>33</v>
      </c>
      <c r="H866" s="6">
        <v>0</v>
      </c>
      <c r="I866" s="11">
        <v>0</v>
      </c>
      <c r="J866">
        <v>1</v>
      </c>
    </row>
    <row r="867" spans="1:10" x14ac:dyDescent="0.45">
      <c r="A867" s="9">
        <v>918</v>
      </c>
      <c r="B867" s="9" t="s">
        <v>2220</v>
      </c>
      <c r="C867" s="12">
        <v>0.15</v>
      </c>
      <c r="D867" s="10">
        <v>0</v>
      </c>
      <c r="E867" s="10">
        <v>0</v>
      </c>
      <c r="F867" s="6">
        <v>0</v>
      </c>
      <c r="G867" s="6">
        <v>33</v>
      </c>
      <c r="H867" s="6">
        <v>0</v>
      </c>
      <c r="I867" s="11">
        <v>0</v>
      </c>
      <c r="J867">
        <v>1</v>
      </c>
    </row>
    <row r="868" spans="1:10" x14ac:dyDescent="0.45">
      <c r="A868" s="9">
        <v>919</v>
      </c>
      <c r="B868" s="9" t="s">
        <v>2221</v>
      </c>
      <c r="C868" s="12">
        <v>0.15</v>
      </c>
      <c r="D868" s="10">
        <v>0</v>
      </c>
      <c r="E868" s="10">
        <v>0</v>
      </c>
      <c r="F868" s="6">
        <v>0</v>
      </c>
      <c r="G868" s="6">
        <v>31</v>
      </c>
      <c r="H868" s="6">
        <v>0</v>
      </c>
      <c r="I868" s="11">
        <v>0</v>
      </c>
      <c r="J868">
        <v>1</v>
      </c>
    </row>
    <row r="869" spans="1:10" x14ac:dyDescent="0.45">
      <c r="A869" s="9">
        <v>920</v>
      </c>
      <c r="B869" s="9" t="s">
        <v>2222</v>
      </c>
      <c r="C869" s="12">
        <v>0.15</v>
      </c>
      <c r="D869" s="10">
        <v>0</v>
      </c>
      <c r="E869" s="10">
        <v>0</v>
      </c>
      <c r="F869" s="6">
        <v>0</v>
      </c>
      <c r="G869" s="6">
        <v>31</v>
      </c>
      <c r="H869" s="6">
        <v>0</v>
      </c>
      <c r="I869" s="11">
        <v>0</v>
      </c>
      <c r="J869">
        <v>1</v>
      </c>
    </row>
    <row r="870" spans="1:10" x14ac:dyDescent="0.45">
      <c r="A870" s="9">
        <v>921</v>
      </c>
      <c r="B870" s="9" t="s">
        <v>2223</v>
      </c>
      <c r="C870" s="12">
        <v>0.15</v>
      </c>
      <c r="D870" s="10">
        <v>0</v>
      </c>
      <c r="E870" s="10">
        <v>1</v>
      </c>
      <c r="F870" s="6">
        <v>0</v>
      </c>
      <c r="G870" s="6">
        <v>24</v>
      </c>
      <c r="H870" s="6">
        <v>0</v>
      </c>
      <c r="I870" s="11">
        <v>0.2</v>
      </c>
      <c r="J870">
        <v>1</v>
      </c>
    </row>
    <row r="871" spans="1:10" x14ac:dyDescent="0.45">
      <c r="A871" s="9">
        <v>922</v>
      </c>
      <c r="B871" s="9" t="s">
        <v>2224</v>
      </c>
      <c r="C871" s="12">
        <v>0</v>
      </c>
      <c r="D871" s="10">
        <v>1</v>
      </c>
      <c r="E871" s="10">
        <v>1</v>
      </c>
      <c r="F871" s="6">
        <v>0</v>
      </c>
      <c r="G871" s="6">
        <v>2</v>
      </c>
      <c r="H871" s="6">
        <v>0</v>
      </c>
      <c r="I871" s="11">
        <v>0</v>
      </c>
      <c r="J871">
        <v>1</v>
      </c>
    </row>
    <row r="872" spans="1:10" x14ac:dyDescent="0.45">
      <c r="A872" s="9">
        <v>923</v>
      </c>
      <c r="B872" s="9" t="s">
        <v>2225</v>
      </c>
      <c r="C872" s="12">
        <v>0.15</v>
      </c>
      <c r="D872" s="10">
        <v>0</v>
      </c>
      <c r="E872" s="10">
        <v>1</v>
      </c>
      <c r="F872" s="6">
        <v>0</v>
      </c>
      <c r="G872" s="6">
        <v>24</v>
      </c>
      <c r="H872" s="6">
        <v>0</v>
      </c>
      <c r="I872" s="11">
        <v>0.2</v>
      </c>
      <c r="J872">
        <v>1</v>
      </c>
    </row>
    <row r="873" spans="1:10" x14ac:dyDescent="0.45">
      <c r="A873" s="9">
        <v>924</v>
      </c>
      <c r="B873" s="9" t="s">
        <v>2226</v>
      </c>
      <c r="C873" s="12">
        <v>0.15</v>
      </c>
      <c r="D873" s="10">
        <v>0</v>
      </c>
      <c r="E873" s="10">
        <v>0</v>
      </c>
      <c r="F873" s="6">
        <v>0</v>
      </c>
      <c r="G873" s="6">
        <v>7</v>
      </c>
      <c r="H873" s="6">
        <v>0</v>
      </c>
      <c r="I873" s="11">
        <v>0</v>
      </c>
      <c r="J873">
        <v>1</v>
      </c>
    </row>
    <row r="874" spans="1:10" x14ac:dyDescent="0.45">
      <c r="A874" s="9">
        <v>925</v>
      </c>
      <c r="B874" s="9" t="s">
        <v>2227</v>
      </c>
      <c r="C874" s="12">
        <v>0</v>
      </c>
      <c r="D874" s="10">
        <v>1</v>
      </c>
      <c r="E874" s="10">
        <v>0</v>
      </c>
      <c r="F874" s="6">
        <v>0</v>
      </c>
      <c r="G874" s="6">
        <v>7</v>
      </c>
      <c r="H874" s="6">
        <v>0</v>
      </c>
      <c r="I874" s="11">
        <v>0</v>
      </c>
      <c r="J874">
        <v>1</v>
      </c>
    </row>
    <row r="875" spans="1:10" x14ac:dyDescent="0.45">
      <c r="A875" s="9">
        <v>926</v>
      </c>
      <c r="B875" s="9" t="s">
        <v>2228</v>
      </c>
      <c r="C875" s="12">
        <v>0</v>
      </c>
      <c r="D875" s="10">
        <v>1</v>
      </c>
      <c r="E875" s="10">
        <v>0</v>
      </c>
      <c r="F875" s="6">
        <v>0</v>
      </c>
      <c r="G875" s="6">
        <v>1</v>
      </c>
      <c r="H875" s="6">
        <v>0</v>
      </c>
      <c r="I875" s="11">
        <v>0</v>
      </c>
      <c r="J875">
        <v>1</v>
      </c>
    </row>
    <row r="876" spans="1:10" x14ac:dyDescent="0.45">
      <c r="A876" s="9">
        <v>927</v>
      </c>
      <c r="B876" s="9" t="s">
        <v>2229</v>
      </c>
      <c r="C876" s="12">
        <v>0.15</v>
      </c>
      <c r="D876" s="10">
        <v>0</v>
      </c>
      <c r="E876" s="10">
        <v>0</v>
      </c>
      <c r="F876" s="6">
        <v>0</v>
      </c>
      <c r="G876" s="6">
        <v>31</v>
      </c>
      <c r="H876" s="6">
        <v>0</v>
      </c>
      <c r="I876" s="11">
        <v>0</v>
      </c>
      <c r="J876">
        <v>1</v>
      </c>
    </row>
    <row r="877" spans="1:10" x14ac:dyDescent="0.45">
      <c r="A877" s="9">
        <v>928</v>
      </c>
      <c r="B877" s="9" t="s">
        <v>2230</v>
      </c>
      <c r="C877" s="12">
        <v>0.15</v>
      </c>
      <c r="D877" s="10">
        <v>0</v>
      </c>
      <c r="E877" s="10">
        <v>0</v>
      </c>
      <c r="F877" s="6">
        <v>0</v>
      </c>
      <c r="G877" s="6">
        <v>31</v>
      </c>
      <c r="H877" s="6">
        <v>0</v>
      </c>
      <c r="I877" s="11">
        <v>0</v>
      </c>
      <c r="J877">
        <v>1</v>
      </c>
    </row>
    <row r="878" spans="1:10" x14ac:dyDescent="0.45">
      <c r="A878" s="9">
        <v>929</v>
      </c>
      <c r="B878" s="9" t="s">
        <v>2231</v>
      </c>
      <c r="C878" s="12">
        <v>0.15</v>
      </c>
      <c r="D878" s="10">
        <v>0</v>
      </c>
      <c r="E878" s="10">
        <v>1</v>
      </c>
      <c r="F878" s="6">
        <v>0</v>
      </c>
      <c r="G878" s="6">
        <v>10</v>
      </c>
      <c r="H878" s="6">
        <v>0</v>
      </c>
      <c r="I878" s="11">
        <v>0.2</v>
      </c>
      <c r="J878">
        <v>1</v>
      </c>
    </row>
    <row r="879" spans="1:10" x14ac:dyDescent="0.45">
      <c r="A879" s="9">
        <v>930</v>
      </c>
      <c r="B879" s="9" t="s">
        <v>2232</v>
      </c>
      <c r="C879" s="12">
        <v>0.15</v>
      </c>
      <c r="D879" s="10">
        <v>0</v>
      </c>
      <c r="E879" s="10">
        <v>1</v>
      </c>
      <c r="F879" s="6">
        <v>0</v>
      </c>
      <c r="G879" s="6">
        <v>14</v>
      </c>
      <c r="H879" s="6">
        <v>0</v>
      </c>
      <c r="I879" s="11">
        <v>0.2</v>
      </c>
      <c r="J879">
        <v>1</v>
      </c>
    </row>
    <row r="880" spans="1:10" x14ac:dyDescent="0.45">
      <c r="A880" s="9">
        <v>931</v>
      </c>
      <c r="B880" s="9" t="s">
        <v>2233</v>
      </c>
      <c r="C880" s="12">
        <v>0</v>
      </c>
      <c r="D880" s="10">
        <v>1</v>
      </c>
      <c r="E880" s="10">
        <v>0</v>
      </c>
      <c r="F880" s="6">
        <v>0</v>
      </c>
      <c r="G880" s="6">
        <v>14</v>
      </c>
      <c r="H880" s="6">
        <v>0</v>
      </c>
      <c r="I880" s="11">
        <v>0</v>
      </c>
      <c r="J880">
        <v>1</v>
      </c>
    </row>
    <row r="881" spans="1:10" x14ac:dyDescent="0.45">
      <c r="A881" s="9">
        <v>932</v>
      </c>
      <c r="B881" s="9" t="s">
        <v>2234</v>
      </c>
      <c r="C881" s="12">
        <v>0.15</v>
      </c>
      <c r="D881" s="10">
        <v>0</v>
      </c>
      <c r="E881" s="10">
        <v>1</v>
      </c>
      <c r="F881" s="6">
        <v>0</v>
      </c>
      <c r="G881" s="6">
        <v>10</v>
      </c>
      <c r="H881" s="6">
        <v>0</v>
      </c>
      <c r="I881" s="11">
        <v>0.2</v>
      </c>
      <c r="J881">
        <v>1</v>
      </c>
    </row>
    <row r="882" spans="1:10" x14ac:dyDescent="0.45">
      <c r="A882" s="9">
        <v>933</v>
      </c>
      <c r="B882" s="9" t="s">
        <v>2235</v>
      </c>
      <c r="C882" s="12">
        <v>0.15</v>
      </c>
      <c r="D882" s="10">
        <v>0</v>
      </c>
      <c r="E882" s="10">
        <v>1</v>
      </c>
      <c r="F882" s="6">
        <v>0</v>
      </c>
      <c r="G882" s="6">
        <v>10</v>
      </c>
      <c r="H882" s="6">
        <v>0</v>
      </c>
      <c r="I882" s="11">
        <v>0.2</v>
      </c>
      <c r="J882">
        <v>1</v>
      </c>
    </row>
    <row r="883" spans="1:10" x14ac:dyDescent="0.45">
      <c r="A883" s="9">
        <v>934</v>
      </c>
      <c r="B883" s="9" t="s">
        <v>2236</v>
      </c>
      <c r="C883" s="12">
        <v>0.15</v>
      </c>
      <c r="D883" s="10">
        <v>0</v>
      </c>
      <c r="E883" s="10">
        <v>1</v>
      </c>
      <c r="F883" s="6">
        <v>0</v>
      </c>
      <c r="G883" s="6">
        <v>9</v>
      </c>
      <c r="H883" s="6">
        <v>0</v>
      </c>
      <c r="I883" s="11">
        <v>0.2</v>
      </c>
      <c r="J883">
        <v>1</v>
      </c>
    </row>
    <row r="884" spans="1:10" x14ac:dyDescent="0.45">
      <c r="A884" s="9">
        <v>935</v>
      </c>
      <c r="B884" s="9" t="s">
        <v>2237</v>
      </c>
      <c r="C884" s="12">
        <v>0.15</v>
      </c>
      <c r="D884" s="10">
        <v>0</v>
      </c>
      <c r="E884" s="10">
        <v>0</v>
      </c>
      <c r="F884" s="6">
        <v>0</v>
      </c>
      <c r="G884" s="6">
        <v>9</v>
      </c>
      <c r="H884" s="6">
        <v>0</v>
      </c>
      <c r="I884" s="11">
        <v>0</v>
      </c>
      <c r="J884">
        <v>1</v>
      </c>
    </row>
    <row r="885" spans="1:10" x14ac:dyDescent="0.45">
      <c r="A885" s="9">
        <v>936</v>
      </c>
      <c r="B885" s="9" t="s">
        <v>2238</v>
      </c>
      <c r="C885" s="12">
        <v>0.15</v>
      </c>
      <c r="D885" s="10">
        <v>0</v>
      </c>
      <c r="E885" s="10">
        <v>0</v>
      </c>
      <c r="F885" s="6">
        <v>0</v>
      </c>
      <c r="G885" s="6">
        <v>9</v>
      </c>
      <c r="H885" s="6">
        <v>0</v>
      </c>
      <c r="I885" s="11">
        <v>0</v>
      </c>
      <c r="J885">
        <v>1</v>
      </c>
    </row>
    <row r="886" spans="1:10" x14ac:dyDescent="0.45">
      <c r="A886" s="9">
        <v>937</v>
      </c>
      <c r="B886" s="9" t="s">
        <v>2239</v>
      </c>
      <c r="C886" s="12">
        <v>0.15</v>
      </c>
      <c r="D886" s="10">
        <v>0</v>
      </c>
      <c r="E886" s="10">
        <v>0</v>
      </c>
      <c r="F886" s="6">
        <v>0</v>
      </c>
      <c r="G886" s="6">
        <v>9</v>
      </c>
      <c r="H886" s="6">
        <v>0</v>
      </c>
      <c r="I886" s="11">
        <v>0</v>
      </c>
      <c r="J886">
        <v>1</v>
      </c>
    </row>
    <row r="887" spans="1:10" x14ac:dyDescent="0.45">
      <c r="A887" s="9">
        <v>938</v>
      </c>
      <c r="B887" s="9" t="s">
        <v>2240</v>
      </c>
      <c r="C887" s="12">
        <v>0.15</v>
      </c>
      <c r="D887" s="10">
        <v>0</v>
      </c>
      <c r="E887" s="10">
        <v>1</v>
      </c>
      <c r="F887" s="6">
        <v>0</v>
      </c>
      <c r="G887" s="6">
        <v>23</v>
      </c>
      <c r="H887" s="6">
        <v>0</v>
      </c>
      <c r="I887" s="11">
        <v>0.2</v>
      </c>
      <c r="J887">
        <v>1</v>
      </c>
    </row>
    <row r="888" spans="1:10" x14ac:dyDescent="0.45">
      <c r="A888" s="9">
        <v>939</v>
      </c>
      <c r="B888" s="9" t="s">
        <v>2241</v>
      </c>
      <c r="C888" s="12">
        <v>0.15</v>
      </c>
      <c r="D888" s="10">
        <v>0</v>
      </c>
      <c r="E888" s="10">
        <v>1</v>
      </c>
      <c r="F888" s="6">
        <v>0</v>
      </c>
      <c r="G888" s="6">
        <v>23</v>
      </c>
      <c r="H888" s="6">
        <v>0</v>
      </c>
      <c r="I888" s="11">
        <v>0.2</v>
      </c>
      <c r="J888">
        <v>1</v>
      </c>
    </row>
    <row r="889" spans="1:10" x14ac:dyDescent="0.45">
      <c r="A889" s="9">
        <v>940</v>
      </c>
      <c r="B889" s="9" t="s">
        <v>2242</v>
      </c>
      <c r="C889" s="12">
        <v>0.15</v>
      </c>
      <c r="D889" s="10">
        <v>0</v>
      </c>
      <c r="E889" s="10">
        <v>1</v>
      </c>
      <c r="F889" s="6">
        <v>0</v>
      </c>
      <c r="G889" s="6">
        <v>23</v>
      </c>
      <c r="H889" s="6">
        <v>0</v>
      </c>
      <c r="I889" s="11">
        <v>0.2</v>
      </c>
      <c r="J889">
        <v>1</v>
      </c>
    </row>
    <row r="890" spans="1:10" x14ac:dyDescent="0.45">
      <c r="A890" s="9">
        <v>941</v>
      </c>
      <c r="B890" s="9" t="s">
        <v>2243</v>
      </c>
      <c r="C890" s="12">
        <v>0</v>
      </c>
      <c r="D890" s="10">
        <v>1</v>
      </c>
      <c r="E890" s="10">
        <v>0</v>
      </c>
      <c r="F890" s="6">
        <v>0</v>
      </c>
      <c r="G890" s="6">
        <v>27</v>
      </c>
      <c r="H890" s="6">
        <v>0</v>
      </c>
      <c r="I890" s="11">
        <v>0</v>
      </c>
      <c r="J890">
        <v>1</v>
      </c>
    </row>
    <row r="891" spans="1:10" x14ac:dyDescent="0.45">
      <c r="A891" s="9">
        <v>942</v>
      </c>
      <c r="B891" s="9" t="s">
        <v>2244</v>
      </c>
      <c r="C891" s="12">
        <v>0</v>
      </c>
      <c r="D891" s="10">
        <v>1</v>
      </c>
      <c r="E891" s="10">
        <v>0</v>
      </c>
      <c r="F891" s="6">
        <v>0</v>
      </c>
      <c r="G891" s="6">
        <v>27</v>
      </c>
      <c r="H891" s="6">
        <v>0</v>
      </c>
      <c r="I891" s="11">
        <v>0</v>
      </c>
      <c r="J891">
        <v>1</v>
      </c>
    </row>
    <row r="892" spans="1:10" x14ac:dyDescent="0.45">
      <c r="A892" s="9">
        <v>943</v>
      </c>
      <c r="B892" s="9" t="s">
        <v>2245</v>
      </c>
      <c r="C892" s="12">
        <v>0.15</v>
      </c>
      <c r="D892" s="10">
        <v>0</v>
      </c>
      <c r="E892" s="10">
        <v>1</v>
      </c>
      <c r="F892" s="6">
        <v>0</v>
      </c>
      <c r="G892" s="6">
        <v>31</v>
      </c>
      <c r="H892" s="6">
        <v>0</v>
      </c>
      <c r="I892" s="11">
        <v>0.2</v>
      </c>
      <c r="J892">
        <v>1</v>
      </c>
    </row>
    <row r="893" spans="1:10" x14ac:dyDescent="0.45">
      <c r="A893" s="9">
        <v>944</v>
      </c>
      <c r="B893" s="9" t="s">
        <v>2246</v>
      </c>
      <c r="C893" s="12">
        <v>0.15</v>
      </c>
      <c r="D893" s="10">
        <v>0</v>
      </c>
      <c r="E893" s="10">
        <v>0</v>
      </c>
      <c r="F893" s="6">
        <v>0</v>
      </c>
      <c r="G893" s="6">
        <v>28</v>
      </c>
      <c r="H893" s="6">
        <v>0</v>
      </c>
      <c r="I893" s="11">
        <v>0</v>
      </c>
      <c r="J893">
        <v>1</v>
      </c>
    </row>
    <row r="894" spans="1:10" x14ac:dyDescent="0.45">
      <c r="A894" s="9">
        <v>945</v>
      </c>
      <c r="B894" s="9" t="s">
        <v>2247</v>
      </c>
      <c r="C894" s="12">
        <v>0.15</v>
      </c>
      <c r="D894" s="10">
        <v>0</v>
      </c>
      <c r="E894" s="10">
        <v>0</v>
      </c>
      <c r="F894" s="6">
        <v>0</v>
      </c>
      <c r="G894" s="6">
        <v>28</v>
      </c>
      <c r="H894" s="6">
        <v>0</v>
      </c>
      <c r="I894" s="11">
        <v>0</v>
      </c>
      <c r="J894">
        <v>1</v>
      </c>
    </row>
    <row r="895" spans="1:10" x14ac:dyDescent="0.45">
      <c r="A895" s="9">
        <v>946</v>
      </c>
      <c r="B895" s="9" t="s">
        <v>2248</v>
      </c>
      <c r="C895" s="12">
        <v>0.15</v>
      </c>
      <c r="D895" s="10">
        <v>0</v>
      </c>
      <c r="E895" s="10">
        <v>1</v>
      </c>
      <c r="F895" s="6">
        <v>0</v>
      </c>
      <c r="G895" s="6">
        <v>31</v>
      </c>
      <c r="H895" s="6">
        <v>0</v>
      </c>
      <c r="I895" s="11">
        <v>0.2</v>
      </c>
      <c r="J895">
        <v>1</v>
      </c>
    </row>
    <row r="896" spans="1:10" x14ac:dyDescent="0.45">
      <c r="A896" s="9">
        <v>947</v>
      </c>
      <c r="B896" s="9" t="s">
        <v>2249</v>
      </c>
      <c r="C896" s="12">
        <v>0.15</v>
      </c>
      <c r="D896" s="10">
        <v>0</v>
      </c>
      <c r="E896" s="10">
        <v>1</v>
      </c>
      <c r="F896" s="6">
        <v>0</v>
      </c>
      <c r="G896" s="6">
        <v>31</v>
      </c>
      <c r="H896" s="6">
        <v>0</v>
      </c>
      <c r="I896" s="11">
        <v>0</v>
      </c>
      <c r="J896">
        <v>1</v>
      </c>
    </row>
    <row r="897" spans="1:10" x14ac:dyDescent="0.45">
      <c r="A897" s="9">
        <v>948</v>
      </c>
      <c r="B897" s="9" t="s">
        <v>2250</v>
      </c>
      <c r="C897" s="12">
        <v>0.15</v>
      </c>
      <c r="D897" s="10">
        <v>0</v>
      </c>
      <c r="E897" s="10">
        <v>1</v>
      </c>
      <c r="F897" s="6">
        <v>0</v>
      </c>
      <c r="G897" s="6">
        <v>24</v>
      </c>
      <c r="H897" s="6">
        <v>0</v>
      </c>
      <c r="I897" s="11">
        <v>0.2</v>
      </c>
      <c r="J897">
        <v>1</v>
      </c>
    </row>
    <row r="898" spans="1:10" x14ac:dyDescent="0.45">
      <c r="A898" s="9">
        <v>949</v>
      </c>
      <c r="B898" s="9" t="s">
        <v>2251</v>
      </c>
      <c r="C898" s="12">
        <v>0.15</v>
      </c>
      <c r="D898" s="10">
        <v>0</v>
      </c>
      <c r="E898" s="10">
        <v>0</v>
      </c>
      <c r="F898" s="6">
        <v>0</v>
      </c>
      <c r="G898" s="6">
        <v>31</v>
      </c>
      <c r="H898" s="6">
        <v>0</v>
      </c>
      <c r="I898" s="11">
        <v>0</v>
      </c>
      <c r="J898">
        <v>1</v>
      </c>
    </row>
    <row r="899" spans="1:10" x14ac:dyDescent="0.45">
      <c r="A899" s="9">
        <v>950</v>
      </c>
      <c r="B899" s="9" t="s">
        <v>2252</v>
      </c>
      <c r="C899" s="12">
        <v>0.15</v>
      </c>
      <c r="D899" s="10">
        <v>0</v>
      </c>
      <c r="E899" s="10">
        <v>0</v>
      </c>
      <c r="F899" s="6">
        <v>0</v>
      </c>
      <c r="G899" s="6">
        <v>31</v>
      </c>
      <c r="H899" s="6">
        <v>0</v>
      </c>
      <c r="I899" s="11">
        <v>0</v>
      </c>
      <c r="J899">
        <v>1</v>
      </c>
    </row>
    <row r="900" spans="1:10" x14ac:dyDescent="0.45">
      <c r="A900" s="9">
        <v>951</v>
      </c>
      <c r="B900" s="9" t="s">
        <v>2253</v>
      </c>
      <c r="C900" s="12">
        <v>0.15</v>
      </c>
      <c r="D900" s="10">
        <v>0</v>
      </c>
      <c r="E900" s="10">
        <v>0</v>
      </c>
      <c r="F900" s="6">
        <v>0</v>
      </c>
      <c r="G900" s="6">
        <v>31</v>
      </c>
      <c r="H900" s="6">
        <v>0</v>
      </c>
      <c r="I900" s="11">
        <v>0</v>
      </c>
      <c r="J900">
        <v>1</v>
      </c>
    </row>
    <row r="901" spans="1:10" x14ac:dyDescent="0.45">
      <c r="A901" s="9">
        <v>952</v>
      </c>
      <c r="B901" s="9" t="s">
        <v>2254</v>
      </c>
      <c r="C901" s="12">
        <v>0.15</v>
      </c>
      <c r="D901" s="10">
        <v>0</v>
      </c>
      <c r="E901" s="10">
        <v>0</v>
      </c>
      <c r="F901" s="6">
        <v>0</v>
      </c>
      <c r="G901" s="6">
        <v>31</v>
      </c>
      <c r="H901" s="6">
        <v>0</v>
      </c>
      <c r="I901" s="11">
        <v>0</v>
      </c>
      <c r="J901">
        <v>1</v>
      </c>
    </row>
    <row r="902" spans="1:10" x14ac:dyDescent="0.45">
      <c r="A902" s="9">
        <v>953</v>
      </c>
      <c r="B902" s="9" t="s">
        <v>2255</v>
      </c>
      <c r="C902" s="12">
        <v>0.15</v>
      </c>
      <c r="D902" s="10">
        <v>0</v>
      </c>
      <c r="E902" s="10">
        <v>0</v>
      </c>
      <c r="F902" s="6">
        <v>0</v>
      </c>
      <c r="G902" s="6">
        <v>31</v>
      </c>
      <c r="H902" s="6">
        <v>0</v>
      </c>
      <c r="I902" s="11">
        <v>0</v>
      </c>
      <c r="J902">
        <v>1</v>
      </c>
    </row>
    <row r="903" spans="1:10" x14ac:dyDescent="0.45">
      <c r="A903" s="9">
        <v>954</v>
      </c>
      <c r="B903" s="9" t="s">
        <v>2256</v>
      </c>
      <c r="C903" s="12">
        <v>0.15</v>
      </c>
      <c r="D903" s="10">
        <v>0</v>
      </c>
      <c r="E903" s="10">
        <v>0</v>
      </c>
      <c r="F903" s="6">
        <v>0</v>
      </c>
      <c r="G903" s="6">
        <v>31</v>
      </c>
      <c r="H903" s="6">
        <v>0</v>
      </c>
      <c r="I903" s="11">
        <v>0</v>
      </c>
      <c r="J903">
        <v>1</v>
      </c>
    </row>
    <row r="904" spans="1:10" x14ac:dyDescent="0.45">
      <c r="A904" s="9">
        <v>955</v>
      </c>
      <c r="B904" s="9" t="s">
        <v>2257</v>
      </c>
      <c r="C904" s="12">
        <v>0.15</v>
      </c>
      <c r="D904" s="10">
        <v>0</v>
      </c>
      <c r="E904" s="10">
        <v>0</v>
      </c>
      <c r="F904" s="6">
        <v>0</v>
      </c>
      <c r="G904" s="6">
        <v>31</v>
      </c>
      <c r="H904" s="6">
        <v>0</v>
      </c>
      <c r="I904" s="11">
        <v>0</v>
      </c>
      <c r="J904">
        <v>1</v>
      </c>
    </row>
    <row r="905" spans="1:10" x14ac:dyDescent="0.45">
      <c r="A905" s="9">
        <v>956</v>
      </c>
      <c r="B905" s="9" t="s">
        <v>2258</v>
      </c>
      <c r="C905" s="12">
        <v>0</v>
      </c>
      <c r="D905" s="10">
        <v>1</v>
      </c>
      <c r="E905" s="10">
        <v>0</v>
      </c>
      <c r="F905" s="6">
        <v>0</v>
      </c>
      <c r="G905" s="6">
        <v>5</v>
      </c>
      <c r="H905" s="6">
        <v>0</v>
      </c>
      <c r="I905" s="11">
        <v>0</v>
      </c>
      <c r="J905">
        <v>1</v>
      </c>
    </row>
    <row r="906" spans="1:10" x14ac:dyDescent="0.45">
      <c r="A906" s="9">
        <v>957</v>
      </c>
      <c r="B906" s="9" t="s">
        <v>2259</v>
      </c>
      <c r="C906" s="12">
        <v>0.15</v>
      </c>
      <c r="D906" s="10">
        <v>0</v>
      </c>
      <c r="E906" s="10">
        <v>1</v>
      </c>
      <c r="F906" s="6">
        <v>0</v>
      </c>
      <c r="G906" s="6">
        <v>23</v>
      </c>
      <c r="H906" s="6">
        <v>0</v>
      </c>
      <c r="I906" s="11">
        <v>0.2</v>
      </c>
      <c r="J906">
        <v>1</v>
      </c>
    </row>
    <row r="907" spans="1:10" x14ac:dyDescent="0.45">
      <c r="A907" s="9">
        <v>958</v>
      </c>
      <c r="B907" s="9" t="s">
        <v>2260</v>
      </c>
      <c r="C907" s="12">
        <v>0.15</v>
      </c>
      <c r="D907" s="10">
        <v>0</v>
      </c>
      <c r="E907" s="10">
        <v>1</v>
      </c>
      <c r="F907" s="6">
        <v>0</v>
      </c>
      <c r="G907" s="6">
        <v>23</v>
      </c>
      <c r="H907" s="6">
        <v>0</v>
      </c>
      <c r="I907" s="11">
        <v>0.2</v>
      </c>
      <c r="J907">
        <v>1</v>
      </c>
    </row>
    <row r="908" spans="1:10" x14ac:dyDescent="0.45">
      <c r="A908" s="9">
        <v>959</v>
      </c>
      <c r="B908" s="9" t="s">
        <v>2261</v>
      </c>
      <c r="C908" s="12">
        <v>0.15</v>
      </c>
      <c r="D908" s="10">
        <v>0</v>
      </c>
      <c r="E908" s="10">
        <v>1</v>
      </c>
      <c r="F908" s="6">
        <v>0</v>
      </c>
      <c r="G908" s="6">
        <v>23</v>
      </c>
      <c r="H908" s="6">
        <v>0</v>
      </c>
      <c r="I908" s="11">
        <v>0</v>
      </c>
      <c r="J908">
        <v>1</v>
      </c>
    </row>
    <row r="909" spans="1:10" x14ac:dyDescent="0.45">
      <c r="A909" s="9">
        <v>960</v>
      </c>
      <c r="B909" s="9" t="s">
        <v>2262</v>
      </c>
      <c r="C909" s="12">
        <v>0.15</v>
      </c>
      <c r="D909" s="10">
        <v>0</v>
      </c>
      <c r="E909" s="10">
        <v>1</v>
      </c>
      <c r="F909" s="6">
        <v>0</v>
      </c>
      <c r="G909" s="6">
        <v>23</v>
      </c>
      <c r="H909" s="6">
        <v>0</v>
      </c>
      <c r="I909" s="11">
        <v>0</v>
      </c>
      <c r="J909">
        <v>1</v>
      </c>
    </row>
    <row r="910" spans="1:10" x14ac:dyDescent="0.45">
      <c r="A910" s="9">
        <v>961</v>
      </c>
      <c r="B910" s="9" t="s">
        <v>2263</v>
      </c>
      <c r="C910" s="12">
        <v>0.15</v>
      </c>
      <c r="D910" s="10">
        <v>0</v>
      </c>
      <c r="E910" s="10">
        <v>1</v>
      </c>
      <c r="F910" s="6">
        <v>0</v>
      </c>
      <c r="G910" s="6">
        <v>24</v>
      </c>
      <c r="H910" s="6">
        <v>0</v>
      </c>
      <c r="I910" s="11">
        <v>0.2</v>
      </c>
      <c r="J910">
        <v>1</v>
      </c>
    </row>
    <row r="911" spans="1:10" x14ac:dyDescent="0.45">
      <c r="A911" s="9">
        <v>962</v>
      </c>
      <c r="B911" s="9" t="s">
        <v>2264</v>
      </c>
      <c r="C911" s="12">
        <v>0.15</v>
      </c>
      <c r="D911" s="10">
        <v>0</v>
      </c>
      <c r="E911" s="10">
        <v>1</v>
      </c>
      <c r="F911" s="6">
        <v>0</v>
      </c>
      <c r="G911" s="6">
        <v>24</v>
      </c>
      <c r="H911" s="6">
        <v>0</v>
      </c>
      <c r="I911" s="11">
        <v>0.2</v>
      </c>
      <c r="J911">
        <v>1</v>
      </c>
    </row>
    <row r="912" spans="1:10" x14ac:dyDescent="0.45">
      <c r="A912" s="9">
        <v>963</v>
      </c>
      <c r="B912" s="9" t="s">
        <v>2265</v>
      </c>
      <c r="C912" s="12">
        <v>0.15</v>
      </c>
      <c r="D912" s="10">
        <v>0</v>
      </c>
      <c r="E912" s="10">
        <v>1</v>
      </c>
      <c r="F912" s="6">
        <v>0</v>
      </c>
      <c r="G912" s="6">
        <v>31</v>
      </c>
      <c r="H912" s="6">
        <v>0</v>
      </c>
      <c r="I912" s="11">
        <v>0.2</v>
      </c>
      <c r="J912">
        <v>1</v>
      </c>
    </row>
    <row r="913" spans="1:10" x14ac:dyDescent="0.45">
      <c r="A913" s="9">
        <v>964</v>
      </c>
      <c r="B913" s="9" t="s">
        <v>2266</v>
      </c>
      <c r="C913" s="12">
        <v>0.15</v>
      </c>
      <c r="D913" s="10">
        <v>0</v>
      </c>
      <c r="E913" s="10">
        <v>0</v>
      </c>
      <c r="F913" s="6">
        <v>0</v>
      </c>
      <c r="G913" s="6">
        <v>31</v>
      </c>
      <c r="H913" s="6">
        <v>0</v>
      </c>
      <c r="I913" s="11">
        <v>0</v>
      </c>
      <c r="J913">
        <v>1</v>
      </c>
    </row>
    <row r="914" spans="1:10" x14ac:dyDescent="0.45">
      <c r="A914" s="9">
        <v>965</v>
      </c>
      <c r="B914" s="9" t="s">
        <v>2267</v>
      </c>
      <c r="C914" s="12">
        <v>0.15</v>
      </c>
      <c r="D914" s="10">
        <v>0</v>
      </c>
      <c r="E914" s="10">
        <v>1</v>
      </c>
      <c r="F914" s="6">
        <v>0</v>
      </c>
      <c r="G914" s="6">
        <v>1</v>
      </c>
      <c r="H914" s="6">
        <v>0</v>
      </c>
      <c r="I914" s="11">
        <v>0.2</v>
      </c>
      <c r="J914">
        <v>1</v>
      </c>
    </row>
    <row r="915" spans="1:10" x14ac:dyDescent="0.45">
      <c r="A915" s="9">
        <v>966</v>
      </c>
      <c r="B915" s="9" t="s">
        <v>2268</v>
      </c>
      <c r="C915" s="12">
        <v>0.15</v>
      </c>
      <c r="D915" s="10">
        <v>0</v>
      </c>
      <c r="E915" s="10">
        <v>0</v>
      </c>
      <c r="F915" s="6">
        <v>0</v>
      </c>
      <c r="G915" s="6">
        <v>1</v>
      </c>
      <c r="H915" s="6">
        <v>0</v>
      </c>
      <c r="I915" s="11">
        <v>0</v>
      </c>
      <c r="J915">
        <v>1</v>
      </c>
    </row>
    <row r="916" spans="1:10" x14ac:dyDescent="0.45">
      <c r="A916" s="9">
        <v>967</v>
      </c>
      <c r="B916" s="9" t="s">
        <v>2269</v>
      </c>
      <c r="C916" s="12">
        <v>0.15</v>
      </c>
      <c r="D916" s="10">
        <v>0</v>
      </c>
      <c r="E916" s="10">
        <v>1</v>
      </c>
      <c r="F916" s="6">
        <v>0</v>
      </c>
      <c r="G916" s="6">
        <v>24</v>
      </c>
      <c r="H916" s="6">
        <v>0</v>
      </c>
      <c r="I916" s="11">
        <v>0.2</v>
      </c>
      <c r="J916">
        <v>1</v>
      </c>
    </row>
    <row r="917" spans="1:10" x14ac:dyDescent="0.45">
      <c r="A917" s="9">
        <v>968</v>
      </c>
      <c r="B917" s="9" t="s">
        <v>2270</v>
      </c>
      <c r="C917" s="12">
        <v>0.15</v>
      </c>
      <c r="D917" s="10">
        <v>0</v>
      </c>
      <c r="E917" s="10">
        <v>1</v>
      </c>
      <c r="F917" s="6">
        <v>0</v>
      </c>
      <c r="G917" s="6">
        <v>7</v>
      </c>
      <c r="H917" s="6">
        <v>0</v>
      </c>
      <c r="I917" s="11">
        <v>0.2</v>
      </c>
      <c r="J917">
        <v>1</v>
      </c>
    </row>
    <row r="918" spans="1:10" x14ac:dyDescent="0.45">
      <c r="A918" s="9">
        <v>969</v>
      </c>
      <c r="B918" s="9" t="s">
        <v>2271</v>
      </c>
      <c r="C918" s="12">
        <v>0.15</v>
      </c>
      <c r="D918" s="10">
        <v>0</v>
      </c>
      <c r="E918" s="10">
        <v>1</v>
      </c>
      <c r="F918" s="6">
        <v>0</v>
      </c>
      <c r="G918" s="6">
        <v>10</v>
      </c>
      <c r="H918" s="6">
        <v>0</v>
      </c>
      <c r="I918" s="11">
        <v>0.2</v>
      </c>
      <c r="J918">
        <v>1</v>
      </c>
    </row>
    <row r="919" spans="1:10" x14ac:dyDescent="0.45">
      <c r="A919" s="9">
        <v>970</v>
      </c>
      <c r="B919" s="9" t="s">
        <v>2272</v>
      </c>
      <c r="C919" s="12">
        <v>0.15</v>
      </c>
      <c r="D919" s="10">
        <v>0</v>
      </c>
      <c r="E919" s="10">
        <v>1</v>
      </c>
      <c r="F919" s="6">
        <v>0</v>
      </c>
      <c r="G919" s="6">
        <v>10</v>
      </c>
      <c r="H919" s="6">
        <v>0</v>
      </c>
      <c r="I919" s="11">
        <v>0.2</v>
      </c>
      <c r="J919">
        <v>1</v>
      </c>
    </row>
    <row r="920" spans="1:10" x14ac:dyDescent="0.45">
      <c r="A920" s="9">
        <v>971</v>
      </c>
      <c r="B920" s="9" t="s">
        <v>2273</v>
      </c>
      <c r="C920" s="12">
        <v>0.15</v>
      </c>
      <c r="D920" s="10">
        <v>0</v>
      </c>
      <c r="E920" s="10">
        <v>1</v>
      </c>
      <c r="F920" s="6">
        <v>0</v>
      </c>
      <c r="G920" s="6">
        <v>10</v>
      </c>
      <c r="H920" s="6">
        <v>0</v>
      </c>
      <c r="I920" s="11">
        <v>0.2</v>
      </c>
      <c r="J920">
        <v>1</v>
      </c>
    </row>
    <row r="921" spans="1:10" x14ac:dyDescent="0.45">
      <c r="A921" s="9">
        <v>972</v>
      </c>
      <c r="B921" s="9" t="s">
        <v>2274</v>
      </c>
      <c r="C921" s="12">
        <v>0.15</v>
      </c>
      <c r="D921" s="10">
        <v>0</v>
      </c>
      <c r="E921" s="10">
        <v>0</v>
      </c>
      <c r="F921" s="6">
        <v>0</v>
      </c>
      <c r="G921" s="6">
        <v>31</v>
      </c>
      <c r="H921" s="6">
        <v>0</v>
      </c>
      <c r="I921" s="11">
        <v>0</v>
      </c>
      <c r="J921">
        <v>1</v>
      </c>
    </row>
    <row r="922" spans="1:10" x14ac:dyDescent="0.45">
      <c r="A922" s="9">
        <v>973</v>
      </c>
      <c r="B922" s="9" t="s">
        <v>2275</v>
      </c>
      <c r="C922" s="12">
        <v>0.15</v>
      </c>
      <c r="D922" s="10">
        <v>0</v>
      </c>
      <c r="E922" s="10">
        <v>1</v>
      </c>
      <c r="F922" s="6">
        <v>0</v>
      </c>
      <c r="G922" s="6">
        <v>10</v>
      </c>
      <c r="H922" s="6">
        <v>0</v>
      </c>
      <c r="I922" s="11">
        <v>0.2</v>
      </c>
      <c r="J922">
        <v>1</v>
      </c>
    </row>
    <row r="923" spans="1:10" x14ac:dyDescent="0.45">
      <c r="A923" s="9">
        <v>974</v>
      </c>
      <c r="B923" s="9" t="s">
        <v>2276</v>
      </c>
      <c r="C923" s="12">
        <v>0.15</v>
      </c>
      <c r="D923" s="10">
        <v>0</v>
      </c>
      <c r="E923" s="10">
        <v>1</v>
      </c>
      <c r="F923" s="6">
        <v>0</v>
      </c>
      <c r="G923" s="6">
        <v>8</v>
      </c>
      <c r="H923" s="6">
        <v>0</v>
      </c>
      <c r="I923" s="11">
        <v>0.2</v>
      </c>
      <c r="J923">
        <v>1</v>
      </c>
    </row>
    <row r="924" spans="1:10" x14ac:dyDescent="0.45">
      <c r="A924" s="9">
        <v>975</v>
      </c>
      <c r="B924" s="9" t="s">
        <v>2277</v>
      </c>
      <c r="C924" s="12">
        <v>0.15</v>
      </c>
      <c r="D924" s="10">
        <v>0</v>
      </c>
      <c r="E924" s="10">
        <v>0</v>
      </c>
      <c r="F924" s="6">
        <v>0</v>
      </c>
      <c r="G924" s="6">
        <v>1</v>
      </c>
      <c r="H924" s="6">
        <v>0</v>
      </c>
      <c r="I924" s="11">
        <v>0</v>
      </c>
      <c r="J924">
        <v>1</v>
      </c>
    </row>
    <row r="925" spans="1:10" x14ac:dyDescent="0.45">
      <c r="A925" s="9">
        <v>976</v>
      </c>
      <c r="B925" s="9" t="s">
        <v>2278</v>
      </c>
      <c r="C925" s="12">
        <v>0.15</v>
      </c>
      <c r="D925" s="10">
        <v>0</v>
      </c>
      <c r="E925" s="10">
        <v>1</v>
      </c>
      <c r="F925" s="6">
        <v>0</v>
      </c>
      <c r="G925" s="6">
        <v>5</v>
      </c>
      <c r="H925" s="6">
        <v>0</v>
      </c>
      <c r="I925" s="11">
        <v>0.2</v>
      </c>
      <c r="J925">
        <v>1</v>
      </c>
    </row>
    <row r="926" spans="1:10" x14ac:dyDescent="0.45">
      <c r="A926" s="9">
        <v>977</v>
      </c>
      <c r="B926" s="9" t="s">
        <v>2279</v>
      </c>
      <c r="C926" s="12">
        <v>0.15</v>
      </c>
      <c r="D926" s="10">
        <v>0</v>
      </c>
      <c r="E926" s="10">
        <v>1</v>
      </c>
      <c r="F926" s="6">
        <v>0</v>
      </c>
      <c r="G926" s="6">
        <v>24</v>
      </c>
      <c r="H926" s="6">
        <v>0</v>
      </c>
      <c r="I926" s="11">
        <v>0.2</v>
      </c>
      <c r="J926">
        <v>1</v>
      </c>
    </row>
    <row r="927" spans="1:10" x14ac:dyDescent="0.45">
      <c r="A927" s="9">
        <v>978</v>
      </c>
      <c r="B927" s="9" t="s">
        <v>2280</v>
      </c>
      <c r="C927" s="12">
        <v>0.15</v>
      </c>
      <c r="D927" s="10">
        <v>0</v>
      </c>
      <c r="E927" s="10">
        <v>1</v>
      </c>
      <c r="F927" s="6">
        <v>0</v>
      </c>
      <c r="G927" s="6">
        <v>2</v>
      </c>
      <c r="H927" s="6">
        <v>0</v>
      </c>
      <c r="I927" s="11">
        <v>0.05</v>
      </c>
      <c r="J927">
        <v>1</v>
      </c>
    </row>
    <row r="928" spans="1:10" x14ac:dyDescent="0.45">
      <c r="A928" s="9">
        <v>979</v>
      </c>
      <c r="B928" s="9" t="s">
        <v>2281</v>
      </c>
      <c r="C928" s="12">
        <v>0.15</v>
      </c>
      <c r="D928" s="10">
        <v>0</v>
      </c>
      <c r="E928" s="10">
        <v>1</v>
      </c>
      <c r="F928" s="6">
        <v>0</v>
      </c>
      <c r="G928" s="6">
        <v>24</v>
      </c>
      <c r="H928" s="6">
        <v>0</v>
      </c>
      <c r="I928" s="11">
        <v>0.2</v>
      </c>
      <c r="J928">
        <v>1</v>
      </c>
    </row>
    <row r="929" spans="1:10" x14ac:dyDescent="0.45">
      <c r="A929" s="9">
        <v>980</v>
      </c>
      <c r="B929" s="9" t="s">
        <v>2282</v>
      </c>
      <c r="C929" s="12">
        <v>0.15</v>
      </c>
      <c r="D929" s="10">
        <v>0</v>
      </c>
      <c r="E929" s="10">
        <v>1</v>
      </c>
      <c r="F929" s="6">
        <v>0</v>
      </c>
      <c r="G929" s="6">
        <v>24</v>
      </c>
      <c r="H929" s="6">
        <v>0</v>
      </c>
      <c r="I929" s="11">
        <v>0.2</v>
      </c>
      <c r="J929">
        <v>1</v>
      </c>
    </row>
    <row r="930" spans="1:10" x14ac:dyDescent="0.45">
      <c r="A930" s="9">
        <v>981</v>
      </c>
      <c r="B930" s="9" t="s">
        <v>2283</v>
      </c>
      <c r="C930" s="12">
        <v>0</v>
      </c>
      <c r="D930" s="10">
        <v>1</v>
      </c>
      <c r="E930" s="10">
        <v>0</v>
      </c>
      <c r="F930" s="6">
        <v>0</v>
      </c>
      <c r="G930" s="6">
        <v>27</v>
      </c>
      <c r="H930" s="6">
        <v>0</v>
      </c>
      <c r="I930" s="11">
        <v>0</v>
      </c>
      <c r="J930">
        <v>1</v>
      </c>
    </row>
    <row r="931" spans="1:10" x14ac:dyDescent="0.45">
      <c r="A931" s="9">
        <v>982</v>
      </c>
      <c r="B931" s="9" t="s">
        <v>2284</v>
      </c>
      <c r="C931" s="12">
        <v>0.15</v>
      </c>
      <c r="D931" s="10">
        <v>0</v>
      </c>
      <c r="E931" s="10">
        <v>1</v>
      </c>
      <c r="F931" s="6">
        <v>0</v>
      </c>
      <c r="G931" s="6">
        <v>3</v>
      </c>
      <c r="H931" s="6">
        <v>0</v>
      </c>
      <c r="I931" s="11">
        <v>0.2</v>
      </c>
      <c r="J931">
        <v>1</v>
      </c>
    </row>
    <row r="932" spans="1:10" x14ac:dyDescent="0.45">
      <c r="A932" s="9">
        <v>983</v>
      </c>
      <c r="B932" s="9" t="s">
        <v>2285</v>
      </c>
      <c r="C932" s="12">
        <v>0.15</v>
      </c>
      <c r="D932" s="10">
        <v>0</v>
      </c>
      <c r="E932" s="10">
        <v>1</v>
      </c>
      <c r="F932" s="6">
        <v>0</v>
      </c>
      <c r="G932" s="6">
        <v>24</v>
      </c>
      <c r="H932" s="6">
        <v>0</v>
      </c>
      <c r="I932" s="11">
        <v>0.2</v>
      </c>
      <c r="J932">
        <v>1</v>
      </c>
    </row>
    <row r="933" spans="1:10" x14ac:dyDescent="0.45">
      <c r="A933" s="9">
        <v>984</v>
      </c>
      <c r="B933" s="9" t="s">
        <v>2286</v>
      </c>
      <c r="C933" s="12">
        <v>0.15</v>
      </c>
      <c r="D933" s="10">
        <v>0</v>
      </c>
      <c r="E933" s="10">
        <v>1</v>
      </c>
      <c r="F933" s="6">
        <v>0</v>
      </c>
      <c r="G933" s="6">
        <v>31</v>
      </c>
      <c r="H933" s="6">
        <v>0</v>
      </c>
      <c r="I933" s="11">
        <v>0.2</v>
      </c>
      <c r="J933">
        <v>1</v>
      </c>
    </row>
    <row r="934" spans="1:10" x14ac:dyDescent="0.45">
      <c r="A934" s="9">
        <v>985</v>
      </c>
      <c r="B934" s="9" t="s">
        <v>2287</v>
      </c>
      <c r="C934" s="12">
        <v>0.15</v>
      </c>
      <c r="D934" s="10">
        <v>0</v>
      </c>
      <c r="E934" s="10">
        <v>1</v>
      </c>
      <c r="F934" s="6">
        <v>0</v>
      </c>
      <c r="G934" s="6">
        <v>28</v>
      </c>
      <c r="H934" s="6">
        <v>0</v>
      </c>
      <c r="I934" s="11">
        <v>0</v>
      </c>
      <c r="J934">
        <v>1</v>
      </c>
    </row>
    <row r="935" spans="1:10" x14ac:dyDescent="0.45">
      <c r="A935" s="9">
        <v>986</v>
      </c>
      <c r="B935" s="9" t="s">
        <v>2288</v>
      </c>
      <c r="C935" s="12">
        <v>0.15</v>
      </c>
      <c r="D935" s="10">
        <v>0</v>
      </c>
      <c r="E935" s="10">
        <v>1</v>
      </c>
      <c r="F935" s="6">
        <v>0</v>
      </c>
      <c r="G935" s="6">
        <v>28</v>
      </c>
      <c r="H935" s="6">
        <v>0</v>
      </c>
      <c r="I935" s="11">
        <v>0.2</v>
      </c>
      <c r="J935">
        <v>1</v>
      </c>
    </row>
    <row r="936" spans="1:10" x14ac:dyDescent="0.45">
      <c r="A936" s="9">
        <v>987</v>
      </c>
      <c r="B936" s="9" t="s">
        <v>2289</v>
      </c>
      <c r="C936" s="12">
        <v>0.15</v>
      </c>
      <c r="D936" s="10">
        <v>0</v>
      </c>
      <c r="E936" s="10">
        <v>1</v>
      </c>
      <c r="F936" s="6">
        <v>0</v>
      </c>
      <c r="G936" s="6">
        <v>24</v>
      </c>
      <c r="H936" s="6">
        <v>0</v>
      </c>
      <c r="I936" s="11">
        <v>0.2</v>
      </c>
      <c r="J936">
        <v>1</v>
      </c>
    </row>
    <row r="937" spans="1:10" x14ac:dyDescent="0.45">
      <c r="A937" s="9">
        <v>988</v>
      </c>
      <c r="B937" s="9" t="s">
        <v>2290</v>
      </c>
      <c r="C937" s="12">
        <v>0.15</v>
      </c>
      <c r="D937" s="10">
        <v>0</v>
      </c>
      <c r="E937" s="10">
        <v>1</v>
      </c>
      <c r="F937" s="6">
        <v>0</v>
      </c>
      <c r="G937" s="6">
        <v>24</v>
      </c>
      <c r="H937" s="6">
        <v>0</v>
      </c>
      <c r="I937" s="11">
        <v>0.2</v>
      </c>
      <c r="J937">
        <v>1</v>
      </c>
    </row>
    <row r="938" spans="1:10" x14ac:dyDescent="0.45">
      <c r="A938" s="9">
        <v>989</v>
      </c>
      <c r="B938" s="9" t="s">
        <v>2291</v>
      </c>
      <c r="C938" s="12">
        <v>0.15</v>
      </c>
      <c r="D938" s="10">
        <v>0</v>
      </c>
      <c r="E938" s="10">
        <v>1</v>
      </c>
      <c r="F938" s="6">
        <v>0</v>
      </c>
      <c r="G938" s="6">
        <v>24</v>
      </c>
      <c r="H938" s="6">
        <v>0</v>
      </c>
      <c r="I938" s="11">
        <v>0.2</v>
      </c>
      <c r="J938">
        <v>1</v>
      </c>
    </row>
    <row r="939" spans="1:10" x14ac:dyDescent="0.45">
      <c r="A939" s="9">
        <v>990</v>
      </c>
      <c r="B939" s="9" t="s">
        <v>2292</v>
      </c>
      <c r="C939" s="12">
        <v>0.15</v>
      </c>
      <c r="D939" s="10">
        <v>0</v>
      </c>
      <c r="E939" s="10">
        <v>0</v>
      </c>
      <c r="F939" s="6">
        <v>0</v>
      </c>
      <c r="G939" s="6">
        <v>24</v>
      </c>
      <c r="H939" s="6">
        <v>0</v>
      </c>
      <c r="I939" s="11">
        <v>0</v>
      </c>
      <c r="J939">
        <v>1</v>
      </c>
    </row>
    <row r="940" spans="1:10" x14ac:dyDescent="0.45">
      <c r="A940" s="9">
        <v>991</v>
      </c>
      <c r="B940" s="9" t="s">
        <v>2293</v>
      </c>
      <c r="C940" s="12">
        <v>0.15</v>
      </c>
      <c r="D940" s="10">
        <v>0</v>
      </c>
      <c r="E940" s="10">
        <v>1</v>
      </c>
      <c r="F940" s="6">
        <v>0</v>
      </c>
      <c r="G940" s="6">
        <v>24</v>
      </c>
      <c r="H940" s="6">
        <v>0</v>
      </c>
      <c r="I940" s="11">
        <v>0.2</v>
      </c>
      <c r="J940">
        <v>1</v>
      </c>
    </row>
    <row r="941" spans="1:10" x14ac:dyDescent="0.45">
      <c r="A941" s="9">
        <v>992</v>
      </c>
      <c r="B941" s="9" t="s">
        <v>2294</v>
      </c>
      <c r="C941" s="12">
        <v>0.15</v>
      </c>
      <c r="D941" s="10">
        <v>0</v>
      </c>
      <c r="E941" s="10">
        <v>1</v>
      </c>
      <c r="F941" s="6">
        <v>0</v>
      </c>
      <c r="G941" s="6">
        <v>24</v>
      </c>
      <c r="H941" s="6">
        <v>0</v>
      </c>
      <c r="I941" s="11">
        <v>0.2</v>
      </c>
      <c r="J941">
        <v>1</v>
      </c>
    </row>
    <row r="942" spans="1:10" x14ac:dyDescent="0.45">
      <c r="A942" s="9">
        <v>993</v>
      </c>
      <c r="B942" s="9" t="s">
        <v>2295</v>
      </c>
      <c r="C942" s="12">
        <v>0.15</v>
      </c>
      <c r="D942" s="10">
        <v>0</v>
      </c>
      <c r="E942" s="10">
        <v>1</v>
      </c>
      <c r="F942" s="6">
        <v>0</v>
      </c>
      <c r="G942" s="6">
        <v>24</v>
      </c>
      <c r="H942" s="6">
        <v>0</v>
      </c>
      <c r="I942" s="11">
        <v>0.2</v>
      </c>
      <c r="J942">
        <v>1</v>
      </c>
    </row>
    <row r="943" spans="1:10" x14ac:dyDescent="0.45">
      <c r="A943" s="9">
        <v>994</v>
      </c>
      <c r="B943" s="9" t="s">
        <v>2296</v>
      </c>
      <c r="C943" s="12">
        <v>0.15</v>
      </c>
      <c r="D943" s="10">
        <v>0</v>
      </c>
      <c r="E943" s="10">
        <v>0</v>
      </c>
      <c r="F943" s="6">
        <v>0</v>
      </c>
      <c r="G943" s="6">
        <v>24</v>
      </c>
      <c r="H943" s="6">
        <v>0</v>
      </c>
      <c r="I943" s="11">
        <v>0.2</v>
      </c>
      <c r="J943">
        <v>1</v>
      </c>
    </row>
    <row r="944" spans="1:10" x14ac:dyDescent="0.45">
      <c r="A944" s="9">
        <v>995</v>
      </c>
      <c r="B944" s="9" t="s">
        <v>2297</v>
      </c>
      <c r="C944" s="12">
        <v>0.15</v>
      </c>
      <c r="D944" s="10">
        <v>0</v>
      </c>
      <c r="E944" s="10">
        <v>0</v>
      </c>
      <c r="F944" s="6">
        <v>0</v>
      </c>
      <c r="G944" s="6">
        <v>24</v>
      </c>
      <c r="H944" s="6">
        <v>0</v>
      </c>
      <c r="I944" s="11">
        <v>0</v>
      </c>
      <c r="J944">
        <v>1</v>
      </c>
    </row>
    <row r="945" spans="1:10" x14ac:dyDescent="0.45">
      <c r="A945" s="9">
        <v>996</v>
      </c>
      <c r="B945" s="9" t="s">
        <v>2298</v>
      </c>
      <c r="C945" s="12">
        <v>0</v>
      </c>
      <c r="D945" s="10">
        <v>1</v>
      </c>
      <c r="E945" s="10">
        <v>0</v>
      </c>
      <c r="F945" s="6">
        <v>0</v>
      </c>
      <c r="G945" s="6">
        <v>7</v>
      </c>
      <c r="H945" s="6">
        <v>0</v>
      </c>
      <c r="I945" s="11">
        <v>0</v>
      </c>
      <c r="J945">
        <v>1</v>
      </c>
    </row>
    <row r="946" spans="1:10" x14ac:dyDescent="0.45">
      <c r="A946" s="9">
        <v>997</v>
      </c>
      <c r="B946" s="9" t="s">
        <v>2299</v>
      </c>
      <c r="C946" s="12">
        <v>0.15</v>
      </c>
      <c r="D946" s="10">
        <v>0</v>
      </c>
      <c r="E946" s="10">
        <v>1</v>
      </c>
      <c r="F946" s="6">
        <v>0</v>
      </c>
      <c r="G946" s="6">
        <v>23</v>
      </c>
      <c r="H946" s="6">
        <v>0</v>
      </c>
      <c r="I946" s="11">
        <v>0.2</v>
      </c>
      <c r="J946">
        <v>1</v>
      </c>
    </row>
    <row r="947" spans="1:10" x14ac:dyDescent="0.45">
      <c r="A947" s="9">
        <v>998</v>
      </c>
      <c r="B947" s="9" t="s">
        <v>2300</v>
      </c>
      <c r="C947" s="12">
        <v>0.15</v>
      </c>
      <c r="D947" s="10">
        <v>0</v>
      </c>
      <c r="E947" s="10">
        <v>1</v>
      </c>
      <c r="F947" s="6">
        <v>0</v>
      </c>
      <c r="G947" s="6">
        <v>23</v>
      </c>
      <c r="H947" s="6">
        <v>0</v>
      </c>
      <c r="I947" s="11">
        <v>0.2</v>
      </c>
      <c r="J947">
        <v>1</v>
      </c>
    </row>
    <row r="948" spans="1:10" x14ac:dyDescent="0.45">
      <c r="A948" s="9">
        <v>999</v>
      </c>
      <c r="B948" s="9" t="s">
        <v>2301</v>
      </c>
      <c r="C948" s="12">
        <v>0.15</v>
      </c>
      <c r="D948" s="10">
        <v>0</v>
      </c>
      <c r="E948" s="10">
        <v>1</v>
      </c>
      <c r="F948" s="6">
        <v>0</v>
      </c>
      <c r="G948" s="6">
        <v>24</v>
      </c>
      <c r="H948" s="6">
        <v>0</v>
      </c>
      <c r="I948" s="11">
        <v>0.2</v>
      </c>
      <c r="J948">
        <v>1</v>
      </c>
    </row>
    <row r="949" spans="1:10" x14ac:dyDescent="0.45">
      <c r="A949" s="9">
        <v>1000</v>
      </c>
      <c r="B949" s="9" t="s">
        <v>2302</v>
      </c>
      <c r="C949" s="12">
        <v>0.15</v>
      </c>
      <c r="D949" s="10">
        <v>0</v>
      </c>
      <c r="E949" s="10">
        <v>1</v>
      </c>
      <c r="F949" s="6">
        <v>0</v>
      </c>
      <c r="G949" s="6">
        <v>24</v>
      </c>
      <c r="H949" s="6">
        <v>0</v>
      </c>
      <c r="I949" s="11">
        <v>0.2</v>
      </c>
      <c r="J949">
        <v>1</v>
      </c>
    </row>
    <row r="950" spans="1:10" x14ac:dyDescent="0.45">
      <c r="A950" s="9">
        <v>1001</v>
      </c>
      <c r="B950" s="9" t="s">
        <v>2303</v>
      </c>
      <c r="C950" s="12">
        <v>0</v>
      </c>
      <c r="D950" s="10">
        <v>1</v>
      </c>
      <c r="E950" s="10">
        <v>0</v>
      </c>
      <c r="F950" s="6">
        <v>0</v>
      </c>
      <c r="G950" s="6">
        <v>2</v>
      </c>
      <c r="H950" s="6">
        <v>0</v>
      </c>
      <c r="I950" s="11">
        <v>0</v>
      </c>
      <c r="J950">
        <v>1</v>
      </c>
    </row>
    <row r="951" spans="1:10" x14ac:dyDescent="0.45">
      <c r="A951" s="9">
        <v>1002</v>
      </c>
      <c r="B951" s="9" t="s">
        <v>2304</v>
      </c>
      <c r="C951" s="12">
        <v>0.15</v>
      </c>
      <c r="D951" s="10">
        <v>0</v>
      </c>
      <c r="E951" s="10">
        <v>1</v>
      </c>
      <c r="F951" s="6">
        <v>0</v>
      </c>
      <c r="G951" s="6">
        <v>7</v>
      </c>
      <c r="H951" s="6">
        <v>0</v>
      </c>
      <c r="I951" s="11">
        <v>0.2</v>
      </c>
      <c r="J951">
        <v>1</v>
      </c>
    </row>
    <row r="952" spans="1:10" x14ac:dyDescent="0.45">
      <c r="A952" s="9">
        <v>1003</v>
      </c>
      <c r="B952" s="9" t="s">
        <v>2305</v>
      </c>
      <c r="C952" s="12">
        <v>0</v>
      </c>
      <c r="D952" s="10">
        <v>1</v>
      </c>
      <c r="E952" s="10">
        <v>0</v>
      </c>
      <c r="F952" s="6">
        <v>0</v>
      </c>
      <c r="G952" s="6">
        <v>7</v>
      </c>
      <c r="H952" s="6">
        <v>0</v>
      </c>
      <c r="I952" s="11">
        <v>0.2</v>
      </c>
      <c r="J952">
        <v>1</v>
      </c>
    </row>
    <row r="953" spans="1:10" x14ac:dyDescent="0.45">
      <c r="A953" s="9">
        <v>1004</v>
      </c>
      <c r="B953" s="9" t="s">
        <v>2306</v>
      </c>
      <c r="C953" s="12">
        <v>0.15</v>
      </c>
      <c r="D953" s="10">
        <v>0</v>
      </c>
      <c r="E953" s="10">
        <v>0</v>
      </c>
      <c r="F953" s="6">
        <v>0</v>
      </c>
      <c r="G953" s="6">
        <v>1</v>
      </c>
      <c r="H953" s="6">
        <v>0</v>
      </c>
      <c r="I953" s="11">
        <v>0.2</v>
      </c>
      <c r="J953">
        <v>1</v>
      </c>
    </row>
    <row r="954" spans="1:10" x14ac:dyDescent="0.45">
      <c r="A954" s="9">
        <v>1005</v>
      </c>
      <c r="B954" s="9" t="s">
        <v>2307</v>
      </c>
      <c r="C954" s="12">
        <v>0.15</v>
      </c>
      <c r="D954" s="10">
        <v>0</v>
      </c>
      <c r="E954" s="10">
        <v>0</v>
      </c>
      <c r="F954" s="6">
        <v>0</v>
      </c>
      <c r="G954" s="6">
        <v>35</v>
      </c>
      <c r="H954" s="6">
        <v>0</v>
      </c>
      <c r="I954" s="11">
        <v>0</v>
      </c>
      <c r="J954">
        <v>1</v>
      </c>
    </row>
    <row r="955" spans="1:10" x14ac:dyDescent="0.45">
      <c r="A955" s="9">
        <v>1006</v>
      </c>
      <c r="B955" s="9" t="s">
        <v>555</v>
      </c>
      <c r="C955" s="12">
        <v>0</v>
      </c>
      <c r="D955" s="10">
        <v>1</v>
      </c>
      <c r="E955" s="10">
        <v>1</v>
      </c>
      <c r="F955" s="6">
        <v>0</v>
      </c>
      <c r="G955" s="6">
        <v>19</v>
      </c>
      <c r="H955" s="6">
        <v>0</v>
      </c>
      <c r="I955" s="11">
        <v>0.2</v>
      </c>
      <c r="J955">
        <v>1</v>
      </c>
    </row>
    <row r="956" spans="1:10" x14ac:dyDescent="0.45">
      <c r="A956" s="9">
        <v>1007</v>
      </c>
      <c r="B956" s="9" t="s">
        <v>2308</v>
      </c>
      <c r="C956" s="12">
        <v>0</v>
      </c>
      <c r="D956" s="10">
        <v>1</v>
      </c>
      <c r="E956" s="10">
        <v>1</v>
      </c>
      <c r="F956" s="6">
        <v>0</v>
      </c>
      <c r="G956" s="6">
        <v>24</v>
      </c>
      <c r="H956" s="6">
        <v>0</v>
      </c>
      <c r="I956" s="11">
        <v>0.2</v>
      </c>
      <c r="J956">
        <v>1</v>
      </c>
    </row>
    <row r="957" spans="1:10" x14ac:dyDescent="0.45">
      <c r="A957" s="9">
        <v>1008</v>
      </c>
      <c r="B957" s="9" t="s">
        <v>2309</v>
      </c>
      <c r="C957" s="12">
        <v>0.15</v>
      </c>
      <c r="D957" s="10">
        <v>0</v>
      </c>
      <c r="E957" s="10">
        <v>1</v>
      </c>
      <c r="F957" s="6">
        <v>0</v>
      </c>
      <c r="G957" s="6">
        <v>24</v>
      </c>
      <c r="H957" s="6">
        <v>0</v>
      </c>
      <c r="I957" s="11">
        <v>0.2</v>
      </c>
      <c r="J957">
        <v>1</v>
      </c>
    </row>
    <row r="958" spans="1:10" x14ac:dyDescent="0.45">
      <c r="A958" s="9">
        <v>1009</v>
      </c>
      <c r="B958" s="9" t="s">
        <v>2310</v>
      </c>
      <c r="C958" s="12">
        <v>0.15</v>
      </c>
      <c r="D958" s="10">
        <v>0</v>
      </c>
      <c r="E958" s="10">
        <v>1</v>
      </c>
      <c r="F958" s="6">
        <v>0</v>
      </c>
      <c r="G958" s="6">
        <v>11</v>
      </c>
      <c r="H958" s="6">
        <v>0</v>
      </c>
      <c r="I958" s="11">
        <v>0.35</v>
      </c>
      <c r="J958">
        <v>1</v>
      </c>
    </row>
    <row r="959" spans="1:10" x14ac:dyDescent="0.45">
      <c r="A959" s="9">
        <v>1010</v>
      </c>
      <c r="B959" s="9" t="s">
        <v>2311</v>
      </c>
      <c r="C959" s="12">
        <v>0.15</v>
      </c>
      <c r="D959" s="10">
        <v>0</v>
      </c>
      <c r="E959" s="10">
        <v>0</v>
      </c>
      <c r="F959" s="6">
        <v>0</v>
      </c>
      <c r="G959" s="6">
        <v>23</v>
      </c>
      <c r="H959" s="6">
        <v>0</v>
      </c>
      <c r="I959" s="11">
        <v>0.2</v>
      </c>
      <c r="J959">
        <v>1</v>
      </c>
    </row>
    <row r="960" spans="1:10" x14ac:dyDescent="0.45">
      <c r="A960" s="9">
        <v>1011</v>
      </c>
      <c r="B960" s="9" t="s">
        <v>2312</v>
      </c>
      <c r="C960" s="12">
        <v>0.15</v>
      </c>
      <c r="D960" s="10">
        <v>0</v>
      </c>
      <c r="E960" s="10">
        <v>0</v>
      </c>
      <c r="F960" s="6">
        <v>0</v>
      </c>
      <c r="G960" s="6">
        <v>23</v>
      </c>
      <c r="H960" s="6">
        <v>0</v>
      </c>
      <c r="I960" s="11">
        <v>0.2</v>
      </c>
      <c r="J960">
        <v>1</v>
      </c>
    </row>
    <row r="961" spans="1:10" x14ac:dyDescent="0.45">
      <c r="A961" s="9">
        <v>1012</v>
      </c>
      <c r="B961" s="9" t="s">
        <v>2313</v>
      </c>
      <c r="C961" s="12">
        <v>0.15</v>
      </c>
      <c r="D961" s="10">
        <v>0</v>
      </c>
      <c r="E961" s="10">
        <v>1</v>
      </c>
      <c r="F961" s="6">
        <v>0</v>
      </c>
      <c r="G961" s="6">
        <v>23</v>
      </c>
      <c r="H961" s="6">
        <v>0</v>
      </c>
      <c r="I961" s="11">
        <v>0.2</v>
      </c>
      <c r="J961">
        <v>1</v>
      </c>
    </row>
    <row r="962" spans="1:10" x14ac:dyDescent="0.45">
      <c r="A962" s="9">
        <v>1013</v>
      </c>
      <c r="B962" s="9" t="s">
        <v>2314</v>
      </c>
      <c r="C962" s="12">
        <v>0.15</v>
      </c>
      <c r="D962" s="10">
        <v>0</v>
      </c>
      <c r="E962" s="10">
        <v>0</v>
      </c>
      <c r="F962" s="6">
        <v>0</v>
      </c>
      <c r="G962" s="6">
        <v>23</v>
      </c>
      <c r="H962" s="6">
        <v>0</v>
      </c>
      <c r="I962" s="11">
        <v>0</v>
      </c>
      <c r="J962">
        <v>1</v>
      </c>
    </row>
    <row r="963" spans="1:10" x14ac:dyDescent="0.45">
      <c r="A963" s="9">
        <v>1014</v>
      </c>
      <c r="B963" s="9" t="s">
        <v>2315</v>
      </c>
      <c r="C963" s="12">
        <v>0.15</v>
      </c>
      <c r="D963" s="10">
        <v>0</v>
      </c>
      <c r="E963" s="10">
        <v>0</v>
      </c>
      <c r="F963" s="6">
        <v>0</v>
      </c>
      <c r="G963" s="6">
        <v>23</v>
      </c>
      <c r="H963" s="6">
        <v>0</v>
      </c>
      <c r="I963" s="11">
        <v>0</v>
      </c>
      <c r="J963">
        <v>1</v>
      </c>
    </row>
    <row r="964" spans="1:10" x14ac:dyDescent="0.45">
      <c r="A964" s="9">
        <v>1015</v>
      </c>
      <c r="B964" s="9" t="s">
        <v>2316</v>
      </c>
      <c r="C964" s="12">
        <v>0.15</v>
      </c>
      <c r="D964" s="10">
        <v>0</v>
      </c>
      <c r="E964" s="10">
        <v>1</v>
      </c>
      <c r="F964" s="6">
        <v>0</v>
      </c>
      <c r="G964" s="6">
        <v>9</v>
      </c>
      <c r="H964" s="6">
        <v>0</v>
      </c>
      <c r="I964" s="11">
        <v>0.2</v>
      </c>
      <c r="J964">
        <v>1</v>
      </c>
    </row>
    <row r="965" spans="1:10" x14ac:dyDescent="0.45">
      <c r="A965" s="9">
        <v>1016</v>
      </c>
      <c r="B965" s="9" t="s">
        <v>2317</v>
      </c>
      <c r="C965" s="12">
        <v>0.15</v>
      </c>
      <c r="D965" s="10">
        <v>0</v>
      </c>
      <c r="E965" s="10">
        <v>1</v>
      </c>
      <c r="F965" s="6">
        <v>0</v>
      </c>
      <c r="G965" s="6">
        <v>9</v>
      </c>
      <c r="H965" s="6">
        <v>0</v>
      </c>
      <c r="I965" s="11">
        <v>0.2</v>
      </c>
      <c r="J965">
        <v>1</v>
      </c>
    </row>
    <row r="966" spans="1:10" x14ac:dyDescent="0.45">
      <c r="A966" s="9">
        <v>1017</v>
      </c>
      <c r="B966" s="9" t="s">
        <v>2318</v>
      </c>
      <c r="C966" s="12">
        <v>0.15</v>
      </c>
      <c r="D966" s="10">
        <v>0</v>
      </c>
      <c r="E966" s="10">
        <v>1</v>
      </c>
      <c r="F966" s="6">
        <v>0</v>
      </c>
      <c r="G966" s="6">
        <v>9</v>
      </c>
      <c r="H966" s="6">
        <v>0</v>
      </c>
      <c r="I966" s="11">
        <v>0.2</v>
      </c>
      <c r="J966">
        <v>1</v>
      </c>
    </row>
    <row r="967" spans="1:10" x14ac:dyDescent="0.45">
      <c r="A967" s="9">
        <v>1018</v>
      </c>
      <c r="B967" s="9" t="s">
        <v>2319</v>
      </c>
      <c r="C967" s="12">
        <v>0.15</v>
      </c>
      <c r="D967" s="10">
        <v>0</v>
      </c>
      <c r="E967" s="10">
        <v>1</v>
      </c>
      <c r="F967" s="6">
        <v>0</v>
      </c>
      <c r="G967" s="6">
        <v>9</v>
      </c>
      <c r="H967" s="6">
        <v>0</v>
      </c>
      <c r="I967" s="11">
        <v>0.2</v>
      </c>
      <c r="J967">
        <v>1</v>
      </c>
    </row>
    <row r="968" spans="1:10" x14ac:dyDescent="0.45">
      <c r="A968" s="9">
        <v>1019</v>
      </c>
      <c r="B968" s="9" t="s">
        <v>2320</v>
      </c>
      <c r="C968" s="12">
        <v>0.15</v>
      </c>
      <c r="D968" s="10">
        <v>0</v>
      </c>
      <c r="E968" s="10">
        <v>1</v>
      </c>
      <c r="F968" s="6">
        <v>0</v>
      </c>
      <c r="G968" s="6">
        <v>10</v>
      </c>
      <c r="H968" s="6">
        <v>0</v>
      </c>
      <c r="I968" s="11">
        <v>0.2</v>
      </c>
      <c r="J968">
        <v>1</v>
      </c>
    </row>
    <row r="969" spans="1:10" x14ac:dyDescent="0.45">
      <c r="A969" s="9">
        <v>1020</v>
      </c>
      <c r="B969" s="9" t="s">
        <v>2321</v>
      </c>
      <c r="C969" s="12">
        <v>0.15</v>
      </c>
      <c r="D969" s="10">
        <v>0</v>
      </c>
      <c r="E969" s="10">
        <v>1</v>
      </c>
      <c r="F969" s="6">
        <v>0</v>
      </c>
      <c r="G969" s="6">
        <v>10</v>
      </c>
      <c r="H969" s="6">
        <v>0</v>
      </c>
      <c r="I969" s="11">
        <v>0.2</v>
      </c>
      <c r="J969">
        <v>1</v>
      </c>
    </row>
    <row r="970" spans="1:10" x14ac:dyDescent="0.45">
      <c r="A970" s="9">
        <v>1021</v>
      </c>
      <c r="B970" s="9" t="s">
        <v>2322</v>
      </c>
      <c r="C970" s="12">
        <v>0.15</v>
      </c>
      <c r="D970" s="10">
        <v>0</v>
      </c>
      <c r="E970" s="10">
        <v>0</v>
      </c>
      <c r="F970" s="6">
        <v>0</v>
      </c>
      <c r="G970" s="6">
        <v>11</v>
      </c>
      <c r="H970" s="6">
        <v>0</v>
      </c>
      <c r="I970" s="11">
        <v>0.2</v>
      </c>
      <c r="J970">
        <v>1</v>
      </c>
    </row>
    <row r="971" spans="1:10" x14ac:dyDescent="0.45">
      <c r="A971" s="9">
        <v>1022</v>
      </c>
      <c r="B971" s="9" t="s">
        <v>2323</v>
      </c>
      <c r="C971" s="12">
        <v>0.15</v>
      </c>
      <c r="D971" s="10">
        <v>0</v>
      </c>
      <c r="E971" s="10">
        <v>0</v>
      </c>
      <c r="F971" s="6">
        <v>0</v>
      </c>
      <c r="G971" s="6">
        <v>11</v>
      </c>
      <c r="H971" s="6">
        <v>0</v>
      </c>
      <c r="I971" s="11">
        <v>0.2</v>
      </c>
      <c r="J971">
        <v>1</v>
      </c>
    </row>
    <row r="972" spans="1:10" x14ac:dyDescent="0.45">
      <c r="A972" s="9">
        <v>1023</v>
      </c>
      <c r="B972" s="9" t="s">
        <v>2324</v>
      </c>
      <c r="C972" s="12">
        <v>0.15</v>
      </c>
      <c r="D972" s="10">
        <v>0</v>
      </c>
      <c r="E972" s="10">
        <v>0</v>
      </c>
      <c r="F972" s="6">
        <v>0</v>
      </c>
      <c r="G972" s="6">
        <v>11</v>
      </c>
      <c r="H972" s="6">
        <v>0</v>
      </c>
      <c r="I972" s="11">
        <v>0.2</v>
      </c>
      <c r="J972">
        <v>1</v>
      </c>
    </row>
    <row r="973" spans="1:10" x14ac:dyDescent="0.45">
      <c r="A973" s="9">
        <v>1024</v>
      </c>
      <c r="B973" s="9" t="s">
        <v>2325</v>
      </c>
      <c r="C973" s="12">
        <v>0.15</v>
      </c>
      <c r="D973" s="10">
        <v>0</v>
      </c>
      <c r="E973" s="10">
        <v>1</v>
      </c>
      <c r="F973" s="6">
        <v>0</v>
      </c>
      <c r="G973" s="6">
        <v>24</v>
      </c>
      <c r="H973" s="6">
        <v>0</v>
      </c>
      <c r="I973" s="11">
        <v>0.2</v>
      </c>
      <c r="J973">
        <v>1</v>
      </c>
    </row>
    <row r="974" spans="1:10" x14ac:dyDescent="0.45">
      <c r="A974" s="9">
        <v>1025</v>
      </c>
      <c r="B974" s="9" t="s">
        <v>2326</v>
      </c>
      <c r="C974" s="12">
        <v>0.15</v>
      </c>
      <c r="D974" s="10">
        <v>0</v>
      </c>
      <c r="E974" s="10">
        <v>1</v>
      </c>
      <c r="F974" s="6">
        <v>0</v>
      </c>
      <c r="G974" s="6">
        <v>33</v>
      </c>
      <c r="H974" s="6">
        <v>0</v>
      </c>
      <c r="I974" s="11">
        <v>0.2</v>
      </c>
      <c r="J974">
        <v>1</v>
      </c>
    </row>
    <row r="975" spans="1:10" x14ac:dyDescent="0.45">
      <c r="A975" s="9">
        <v>1026</v>
      </c>
      <c r="B975" s="9" t="s">
        <v>2327</v>
      </c>
      <c r="C975" s="12">
        <v>0.15</v>
      </c>
      <c r="D975" s="10">
        <v>0</v>
      </c>
      <c r="E975" s="10">
        <v>0</v>
      </c>
      <c r="F975" s="6">
        <v>0</v>
      </c>
      <c r="G975" s="6">
        <v>24</v>
      </c>
      <c r="H975" s="6">
        <v>0</v>
      </c>
      <c r="I975" s="11">
        <v>0.2</v>
      </c>
      <c r="J975">
        <v>1</v>
      </c>
    </row>
    <row r="976" spans="1:10" x14ac:dyDescent="0.45">
      <c r="A976" s="9">
        <v>1027</v>
      </c>
      <c r="B976" s="9" t="s">
        <v>2328</v>
      </c>
      <c r="C976" s="12">
        <v>0.15</v>
      </c>
      <c r="D976" s="10">
        <v>0</v>
      </c>
      <c r="E976" s="10">
        <v>1</v>
      </c>
      <c r="F976" s="6">
        <v>0</v>
      </c>
      <c r="G976" s="6">
        <v>24</v>
      </c>
      <c r="H976" s="6">
        <v>0</v>
      </c>
      <c r="I976" s="11">
        <v>0.2</v>
      </c>
      <c r="J976">
        <v>1</v>
      </c>
    </row>
    <row r="977" spans="1:10" x14ac:dyDescent="0.45">
      <c r="A977" s="9">
        <v>1028</v>
      </c>
      <c r="B977" s="9" t="s">
        <v>2329</v>
      </c>
      <c r="C977" s="12">
        <v>0.15</v>
      </c>
      <c r="D977" s="10">
        <v>0</v>
      </c>
      <c r="E977" s="10">
        <v>1</v>
      </c>
      <c r="F977" s="6">
        <v>0</v>
      </c>
      <c r="G977" s="6">
        <v>24</v>
      </c>
      <c r="H977" s="6">
        <v>0</v>
      </c>
      <c r="I977" s="11">
        <v>0.2</v>
      </c>
      <c r="J977">
        <v>1</v>
      </c>
    </row>
    <row r="978" spans="1:10" x14ac:dyDescent="0.45">
      <c r="A978" s="9">
        <v>1029</v>
      </c>
      <c r="B978" s="9" t="s">
        <v>2330</v>
      </c>
      <c r="C978" s="12">
        <v>0.15</v>
      </c>
      <c r="D978" s="10">
        <v>0</v>
      </c>
      <c r="E978" s="10">
        <v>1</v>
      </c>
      <c r="F978" s="6">
        <v>0</v>
      </c>
      <c r="G978" s="6">
        <v>19</v>
      </c>
      <c r="H978" s="6">
        <v>0</v>
      </c>
      <c r="I978" s="11">
        <v>0.2</v>
      </c>
      <c r="J978">
        <v>1</v>
      </c>
    </row>
    <row r="979" spans="1:10" x14ac:dyDescent="0.45">
      <c r="A979" s="9">
        <v>1030</v>
      </c>
      <c r="B979" s="9" t="s">
        <v>2331</v>
      </c>
      <c r="C979" s="12">
        <v>0.15</v>
      </c>
      <c r="D979" s="10">
        <v>0</v>
      </c>
      <c r="E979" s="10">
        <v>1</v>
      </c>
      <c r="F979" s="6">
        <v>0</v>
      </c>
      <c r="G979" s="6">
        <v>24</v>
      </c>
      <c r="H979" s="6">
        <v>0</v>
      </c>
      <c r="I979" s="11">
        <v>0.2</v>
      </c>
      <c r="J979">
        <v>1</v>
      </c>
    </row>
    <row r="980" spans="1:10" x14ac:dyDescent="0.45">
      <c r="A980" s="9">
        <v>1031</v>
      </c>
      <c r="B980" s="9" t="s">
        <v>2332</v>
      </c>
      <c r="C980" s="12">
        <v>0</v>
      </c>
      <c r="D980" s="10">
        <v>1</v>
      </c>
      <c r="E980" s="10">
        <v>0</v>
      </c>
      <c r="F980" s="6">
        <v>0</v>
      </c>
      <c r="G980" s="6">
        <v>33</v>
      </c>
      <c r="H980" s="6">
        <v>0</v>
      </c>
      <c r="I980" s="11">
        <v>0</v>
      </c>
      <c r="J980">
        <v>1</v>
      </c>
    </row>
    <row r="981" spans="1:10" x14ac:dyDescent="0.45">
      <c r="A981" s="9">
        <v>1032</v>
      </c>
      <c r="B981" s="9" t="s">
        <v>2333</v>
      </c>
      <c r="C981" s="12">
        <v>0.15</v>
      </c>
      <c r="D981" s="10">
        <v>0</v>
      </c>
      <c r="E981" s="10">
        <v>0</v>
      </c>
      <c r="F981" s="6">
        <v>0</v>
      </c>
      <c r="G981" s="6">
        <v>31</v>
      </c>
      <c r="H981" s="6">
        <v>0</v>
      </c>
      <c r="I981" s="11">
        <v>0</v>
      </c>
      <c r="J981">
        <v>1</v>
      </c>
    </row>
    <row r="982" spans="1:10" x14ac:dyDescent="0.45">
      <c r="A982" s="9">
        <v>1033</v>
      </c>
      <c r="B982" s="9" t="s">
        <v>2334</v>
      </c>
      <c r="C982" s="12">
        <v>0.15</v>
      </c>
      <c r="D982" s="10">
        <v>0</v>
      </c>
      <c r="E982" s="10">
        <v>0</v>
      </c>
      <c r="F982" s="6">
        <v>0</v>
      </c>
      <c r="G982" s="6">
        <v>31</v>
      </c>
      <c r="H982" s="6">
        <v>0</v>
      </c>
      <c r="I982" s="11">
        <v>0</v>
      </c>
      <c r="J982">
        <v>1</v>
      </c>
    </row>
    <row r="983" spans="1:10" x14ac:dyDescent="0.45">
      <c r="A983" s="9">
        <v>1034</v>
      </c>
      <c r="B983" s="9" t="s">
        <v>2335</v>
      </c>
      <c r="C983" s="12">
        <v>0.15</v>
      </c>
      <c r="D983" s="10">
        <v>0</v>
      </c>
      <c r="E983" s="10">
        <v>0</v>
      </c>
      <c r="F983" s="6">
        <v>0</v>
      </c>
      <c r="G983" s="6">
        <v>31</v>
      </c>
      <c r="H983" s="6">
        <v>0</v>
      </c>
      <c r="I983" s="11">
        <v>0</v>
      </c>
      <c r="J983">
        <v>1</v>
      </c>
    </row>
    <row r="984" spans="1:10" x14ac:dyDescent="0.45">
      <c r="A984" s="9">
        <v>1035</v>
      </c>
      <c r="B984" s="9" t="s">
        <v>2336</v>
      </c>
      <c r="C984" s="12">
        <v>0.15</v>
      </c>
      <c r="D984" s="10">
        <v>0</v>
      </c>
      <c r="E984" s="10">
        <v>0</v>
      </c>
      <c r="F984" s="6">
        <v>0</v>
      </c>
      <c r="G984" s="6">
        <v>24</v>
      </c>
      <c r="H984" s="6">
        <v>0</v>
      </c>
      <c r="I984" s="11">
        <v>0.2</v>
      </c>
      <c r="J984">
        <v>1</v>
      </c>
    </row>
    <row r="985" spans="1:10" x14ac:dyDescent="0.45">
      <c r="A985" s="9">
        <v>1036</v>
      </c>
      <c r="B985" s="9" t="s">
        <v>2337</v>
      </c>
      <c r="C985" s="12">
        <v>0.15</v>
      </c>
      <c r="D985" s="10">
        <v>0</v>
      </c>
      <c r="E985" s="10">
        <v>1</v>
      </c>
      <c r="F985" s="6">
        <v>0</v>
      </c>
      <c r="G985" s="6">
        <v>24</v>
      </c>
      <c r="H985" s="6">
        <v>0</v>
      </c>
      <c r="I985" s="11">
        <v>0.2</v>
      </c>
      <c r="J985">
        <v>1</v>
      </c>
    </row>
    <row r="986" spans="1:10" x14ac:dyDescent="0.45">
      <c r="A986" s="9">
        <v>1037</v>
      </c>
      <c r="B986" s="9" t="s">
        <v>2338</v>
      </c>
      <c r="C986" s="12">
        <v>0.15</v>
      </c>
      <c r="D986" s="10">
        <v>0</v>
      </c>
      <c r="E986" s="10">
        <v>1</v>
      </c>
      <c r="F986" s="6">
        <v>0</v>
      </c>
      <c r="G986" s="6">
        <v>24</v>
      </c>
      <c r="H986" s="6">
        <v>0</v>
      </c>
      <c r="I986" s="11">
        <v>0.2</v>
      </c>
      <c r="J986">
        <v>1</v>
      </c>
    </row>
    <row r="987" spans="1:10" x14ac:dyDescent="0.45">
      <c r="A987" s="9">
        <v>1038</v>
      </c>
      <c r="B987" s="9" t="s">
        <v>2339</v>
      </c>
      <c r="C987" s="12">
        <v>0.15</v>
      </c>
      <c r="D987" s="10">
        <v>0</v>
      </c>
      <c r="E987" s="10">
        <v>1</v>
      </c>
      <c r="F987" s="6">
        <v>0</v>
      </c>
      <c r="G987" s="6">
        <v>23</v>
      </c>
      <c r="H987" s="6">
        <v>0</v>
      </c>
      <c r="I987" s="11">
        <v>0.2</v>
      </c>
      <c r="J987">
        <v>1</v>
      </c>
    </row>
    <row r="988" spans="1:10" x14ac:dyDescent="0.45">
      <c r="A988" s="9">
        <v>1039</v>
      </c>
      <c r="B988" s="9" t="s">
        <v>2340</v>
      </c>
      <c r="C988" s="12">
        <v>0.15</v>
      </c>
      <c r="D988" s="10">
        <v>0</v>
      </c>
      <c r="E988" s="10">
        <v>1</v>
      </c>
      <c r="F988" s="6">
        <v>0</v>
      </c>
      <c r="G988" s="6">
        <v>23</v>
      </c>
      <c r="H988" s="6">
        <v>0</v>
      </c>
      <c r="I988" s="11">
        <v>0</v>
      </c>
      <c r="J988">
        <v>1</v>
      </c>
    </row>
    <row r="989" spans="1:10" x14ac:dyDescent="0.45">
      <c r="A989" s="9">
        <v>1040</v>
      </c>
      <c r="B989" s="9" t="s">
        <v>2341</v>
      </c>
      <c r="C989" s="12">
        <v>0.15</v>
      </c>
      <c r="D989" s="10">
        <v>0</v>
      </c>
      <c r="E989" s="10">
        <v>1</v>
      </c>
      <c r="F989" s="6">
        <v>0</v>
      </c>
      <c r="G989" s="6">
        <v>10</v>
      </c>
      <c r="H989" s="6">
        <v>0</v>
      </c>
      <c r="I989" s="11">
        <v>0.2</v>
      </c>
      <c r="J989">
        <v>1</v>
      </c>
    </row>
    <row r="990" spans="1:10" x14ac:dyDescent="0.45">
      <c r="A990" s="9">
        <v>1041</v>
      </c>
      <c r="B990" s="9" t="s">
        <v>2342</v>
      </c>
      <c r="C990" s="12">
        <v>0.15</v>
      </c>
      <c r="D990" s="10">
        <v>0</v>
      </c>
      <c r="E990" s="10">
        <v>0</v>
      </c>
      <c r="F990" s="6">
        <v>0</v>
      </c>
      <c r="G990" s="6">
        <v>9</v>
      </c>
      <c r="H990" s="6">
        <v>0</v>
      </c>
      <c r="I990" s="11">
        <v>0</v>
      </c>
      <c r="J990">
        <v>1</v>
      </c>
    </row>
    <row r="991" spans="1:10" x14ac:dyDescent="0.45">
      <c r="A991" s="9">
        <v>1042</v>
      </c>
      <c r="B991" s="9" t="s">
        <v>2343</v>
      </c>
      <c r="C991" s="12">
        <v>0.15</v>
      </c>
      <c r="D991" s="10">
        <v>0</v>
      </c>
      <c r="E991" s="10">
        <v>0</v>
      </c>
      <c r="F991" s="6">
        <v>0</v>
      </c>
      <c r="G991" s="6">
        <v>9</v>
      </c>
      <c r="H991" s="6">
        <v>0</v>
      </c>
      <c r="I991" s="11">
        <v>0</v>
      </c>
      <c r="J991">
        <v>1</v>
      </c>
    </row>
    <row r="992" spans="1:10" x14ac:dyDescent="0.45">
      <c r="A992" s="9">
        <v>1043</v>
      </c>
      <c r="B992" s="9" t="s">
        <v>2344</v>
      </c>
      <c r="C992" s="12">
        <v>0.15</v>
      </c>
      <c r="D992" s="10">
        <v>0</v>
      </c>
      <c r="E992" s="10">
        <v>0</v>
      </c>
      <c r="F992" s="6">
        <v>0</v>
      </c>
      <c r="G992" s="6">
        <v>23</v>
      </c>
      <c r="H992" s="6">
        <v>0</v>
      </c>
      <c r="I992" s="11">
        <v>0</v>
      </c>
      <c r="J992">
        <v>1</v>
      </c>
    </row>
    <row r="993" spans="1:10" x14ac:dyDescent="0.45">
      <c r="A993" s="9">
        <v>1044</v>
      </c>
      <c r="B993" s="9" t="s">
        <v>2345</v>
      </c>
      <c r="C993" s="12">
        <v>0.15</v>
      </c>
      <c r="D993" s="10">
        <v>0</v>
      </c>
      <c r="E993" s="10">
        <v>0</v>
      </c>
      <c r="F993" s="6">
        <v>0</v>
      </c>
      <c r="G993" s="6">
        <v>27</v>
      </c>
      <c r="H993" s="6">
        <v>0</v>
      </c>
      <c r="I993" s="11">
        <v>0</v>
      </c>
      <c r="J993">
        <v>1</v>
      </c>
    </row>
    <row r="994" spans="1:10" x14ac:dyDescent="0.45">
      <c r="A994" s="9">
        <v>1045</v>
      </c>
      <c r="B994" s="9" t="s">
        <v>2346</v>
      </c>
      <c r="C994" s="12">
        <v>0.15</v>
      </c>
      <c r="D994" s="10">
        <v>0</v>
      </c>
      <c r="E994" s="10">
        <v>0</v>
      </c>
      <c r="F994" s="6">
        <v>0</v>
      </c>
      <c r="G994" s="6">
        <v>31</v>
      </c>
      <c r="H994" s="6">
        <v>0</v>
      </c>
      <c r="I994" s="11">
        <v>0</v>
      </c>
      <c r="J994">
        <v>1</v>
      </c>
    </row>
    <row r="995" spans="1:10" x14ac:dyDescent="0.45">
      <c r="A995" s="9">
        <v>1046</v>
      </c>
      <c r="B995" s="9" t="s">
        <v>2347</v>
      </c>
      <c r="C995" s="12">
        <v>0.15</v>
      </c>
      <c r="D995" s="10">
        <v>0</v>
      </c>
      <c r="E995" s="10">
        <v>0</v>
      </c>
      <c r="F995" s="6">
        <v>0</v>
      </c>
      <c r="G995" s="6">
        <v>31</v>
      </c>
      <c r="H995" s="6">
        <v>0</v>
      </c>
      <c r="I995" s="11">
        <v>0</v>
      </c>
      <c r="J995">
        <v>1</v>
      </c>
    </row>
    <row r="996" spans="1:10" x14ac:dyDescent="0.45">
      <c r="A996" s="9">
        <v>1047</v>
      </c>
      <c r="B996" s="9" t="s">
        <v>2348</v>
      </c>
      <c r="C996" s="12">
        <v>0.15</v>
      </c>
      <c r="D996" s="10">
        <v>0</v>
      </c>
      <c r="E996" s="10">
        <v>0</v>
      </c>
      <c r="F996" s="6">
        <v>0</v>
      </c>
      <c r="G996" s="6">
        <v>31</v>
      </c>
      <c r="H996" s="6">
        <v>0</v>
      </c>
      <c r="I996" s="11">
        <v>0</v>
      </c>
      <c r="J996">
        <v>1</v>
      </c>
    </row>
    <row r="997" spans="1:10" x14ac:dyDescent="0.45">
      <c r="A997" s="9">
        <v>1048</v>
      </c>
      <c r="B997" s="9" t="s">
        <v>2349</v>
      </c>
      <c r="C997" s="12">
        <v>0.15</v>
      </c>
      <c r="D997" s="10">
        <v>0</v>
      </c>
      <c r="E997" s="10">
        <v>0</v>
      </c>
      <c r="F997" s="6">
        <v>0</v>
      </c>
      <c r="G997" s="6">
        <v>31</v>
      </c>
      <c r="H997" s="6">
        <v>0</v>
      </c>
      <c r="I997" s="11">
        <v>0</v>
      </c>
      <c r="J997">
        <v>1</v>
      </c>
    </row>
    <row r="998" spans="1:10" x14ac:dyDescent="0.45">
      <c r="A998" s="9">
        <v>1049</v>
      </c>
      <c r="B998" s="9" t="s">
        <v>2350</v>
      </c>
      <c r="C998" s="12">
        <v>0.15</v>
      </c>
      <c r="D998" s="10">
        <v>0</v>
      </c>
      <c r="E998" s="10">
        <v>0</v>
      </c>
      <c r="F998" s="6">
        <v>0</v>
      </c>
      <c r="G998" s="6">
        <v>31</v>
      </c>
      <c r="H998" s="6">
        <v>0</v>
      </c>
      <c r="I998" s="11">
        <v>0</v>
      </c>
      <c r="J998">
        <v>1</v>
      </c>
    </row>
    <row r="999" spans="1:10" x14ac:dyDescent="0.45">
      <c r="A999" s="9">
        <v>1050</v>
      </c>
      <c r="B999" s="9" t="s">
        <v>2351</v>
      </c>
      <c r="C999" s="12">
        <v>0.15</v>
      </c>
      <c r="D999" s="10">
        <v>0</v>
      </c>
      <c r="E999" s="10">
        <v>0</v>
      </c>
      <c r="F999" s="6">
        <v>0</v>
      </c>
      <c r="G999" s="6">
        <v>31</v>
      </c>
      <c r="H999" s="6">
        <v>0</v>
      </c>
      <c r="I999" s="11">
        <v>0</v>
      </c>
      <c r="J999">
        <v>1</v>
      </c>
    </row>
    <row r="1000" spans="1:10" x14ac:dyDescent="0.45">
      <c r="A1000" s="9">
        <v>1051</v>
      </c>
      <c r="B1000" s="9" t="s">
        <v>2352</v>
      </c>
      <c r="C1000" s="12">
        <v>0.15</v>
      </c>
      <c r="D1000" s="10">
        <v>0</v>
      </c>
      <c r="E1000" s="10">
        <v>0</v>
      </c>
      <c r="F1000" s="6">
        <v>0</v>
      </c>
      <c r="G1000" s="6">
        <v>31</v>
      </c>
      <c r="H1000" s="6">
        <v>0</v>
      </c>
      <c r="I1000" s="11">
        <v>0</v>
      </c>
      <c r="J1000">
        <v>1</v>
      </c>
    </row>
    <row r="1001" spans="1:10" x14ac:dyDescent="0.45">
      <c r="A1001" s="9">
        <v>1052</v>
      </c>
      <c r="B1001" s="9" t="s">
        <v>2353</v>
      </c>
      <c r="C1001" s="12">
        <v>0.15</v>
      </c>
      <c r="D1001" s="10">
        <v>0</v>
      </c>
      <c r="E1001" s="10">
        <v>0</v>
      </c>
      <c r="F1001" s="6">
        <v>0</v>
      </c>
      <c r="G1001" s="6">
        <v>31</v>
      </c>
      <c r="H1001" s="6">
        <v>0</v>
      </c>
      <c r="I1001" s="11">
        <v>0</v>
      </c>
      <c r="J1001">
        <v>1</v>
      </c>
    </row>
    <row r="1002" spans="1:10" x14ac:dyDescent="0.45">
      <c r="A1002" s="9">
        <v>1053</v>
      </c>
      <c r="B1002" s="9" t="s">
        <v>2354</v>
      </c>
      <c r="C1002" s="12">
        <v>0.15</v>
      </c>
      <c r="D1002" s="10">
        <v>0</v>
      </c>
      <c r="E1002" s="10">
        <v>1</v>
      </c>
      <c r="F1002" s="6">
        <v>0</v>
      </c>
      <c r="G1002" s="6">
        <v>23</v>
      </c>
      <c r="H1002" s="6">
        <v>0</v>
      </c>
      <c r="I1002" s="11">
        <v>0.2</v>
      </c>
      <c r="J1002">
        <v>1</v>
      </c>
    </row>
    <row r="1003" spans="1:10" x14ac:dyDescent="0.45">
      <c r="A1003" s="9">
        <v>1054</v>
      </c>
      <c r="B1003" s="9" t="s">
        <v>2355</v>
      </c>
      <c r="C1003" s="12">
        <v>0.15</v>
      </c>
      <c r="D1003" s="10">
        <v>0</v>
      </c>
      <c r="E1003" s="10">
        <v>1</v>
      </c>
      <c r="F1003" s="6">
        <v>0</v>
      </c>
      <c r="G1003" s="6">
        <v>19</v>
      </c>
      <c r="H1003" s="6">
        <v>0</v>
      </c>
      <c r="I1003" s="11">
        <v>0.2</v>
      </c>
      <c r="J1003">
        <v>1</v>
      </c>
    </row>
    <row r="1004" spans="1:10" x14ac:dyDescent="0.45">
      <c r="A1004" s="9">
        <v>1055</v>
      </c>
      <c r="B1004" s="9" t="s">
        <v>2356</v>
      </c>
      <c r="C1004" s="12">
        <v>0.15</v>
      </c>
      <c r="D1004" s="10">
        <v>0</v>
      </c>
      <c r="E1004" s="10">
        <v>1</v>
      </c>
      <c r="F1004" s="6">
        <v>0</v>
      </c>
      <c r="G1004" s="6">
        <v>24</v>
      </c>
      <c r="H1004" s="6">
        <v>0</v>
      </c>
      <c r="I1004" s="11">
        <v>0.2</v>
      </c>
      <c r="J1004">
        <v>1</v>
      </c>
    </row>
    <row r="1005" spans="1:10" x14ac:dyDescent="0.45">
      <c r="A1005" s="9">
        <v>1056</v>
      </c>
      <c r="B1005" s="9" t="s">
        <v>2357</v>
      </c>
      <c r="C1005" s="12">
        <v>0.15</v>
      </c>
      <c r="D1005" s="10">
        <v>0</v>
      </c>
      <c r="E1005" s="10">
        <v>1</v>
      </c>
      <c r="F1005" s="6">
        <v>0</v>
      </c>
      <c r="G1005" s="6">
        <v>24</v>
      </c>
      <c r="H1005" s="6">
        <v>0</v>
      </c>
      <c r="I1005" s="11">
        <v>0.2</v>
      </c>
      <c r="J1005">
        <v>1</v>
      </c>
    </row>
    <row r="1006" spans="1:10" x14ac:dyDescent="0.45">
      <c r="A1006" s="9">
        <v>1057</v>
      </c>
      <c r="B1006" s="9" t="s">
        <v>2358</v>
      </c>
      <c r="C1006" s="12">
        <v>0.15</v>
      </c>
      <c r="D1006" s="10">
        <v>0</v>
      </c>
      <c r="E1006" s="10">
        <v>1</v>
      </c>
      <c r="F1006" s="6">
        <v>0</v>
      </c>
      <c r="G1006" s="6">
        <v>24</v>
      </c>
      <c r="H1006" s="6">
        <v>0</v>
      </c>
      <c r="I1006" s="11">
        <v>0.2</v>
      </c>
      <c r="J1006">
        <v>1</v>
      </c>
    </row>
    <row r="1007" spans="1:10" x14ac:dyDescent="0.45">
      <c r="A1007" s="9">
        <v>1058</v>
      </c>
      <c r="B1007" s="9" t="s">
        <v>2359</v>
      </c>
      <c r="C1007" s="12">
        <v>0.15</v>
      </c>
      <c r="D1007" s="10">
        <v>0</v>
      </c>
      <c r="E1007" s="10">
        <v>0</v>
      </c>
      <c r="F1007" s="6">
        <v>0</v>
      </c>
      <c r="G1007" s="6">
        <v>24</v>
      </c>
      <c r="H1007" s="6">
        <v>0</v>
      </c>
      <c r="I1007" s="11">
        <v>0.2</v>
      </c>
      <c r="J1007">
        <v>1</v>
      </c>
    </row>
    <row r="1008" spans="1:10" x14ac:dyDescent="0.45">
      <c r="A1008" s="9">
        <v>1059</v>
      </c>
      <c r="B1008" s="9" t="s">
        <v>2360</v>
      </c>
      <c r="C1008" s="12">
        <v>0.15</v>
      </c>
      <c r="D1008" s="10">
        <v>0</v>
      </c>
      <c r="E1008" s="10">
        <v>0</v>
      </c>
      <c r="F1008" s="6">
        <v>0</v>
      </c>
      <c r="G1008" s="6">
        <v>24</v>
      </c>
      <c r="H1008" s="6">
        <v>0</v>
      </c>
      <c r="I1008" s="11">
        <v>0</v>
      </c>
      <c r="J1008">
        <v>1</v>
      </c>
    </row>
    <row r="1009" spans="1:10" x14ac:dyDescent="0.45">
      <c r="A1009" s="9">
        <v>1060</v>
      </c>
      <c r="B1009" s="9" t="s">
        <v>2361</v>
      </c>
      <c r="C1009" s="12">
        <v>0.15</v>
      </c>
      <c r="D1009" s="10">
        <v>0</v>
      </c>
      <c r="E1009" s="10">
        <v>1</v>
      </c>
      <c r="F1009" s="6">
        <v>0</v>
      </c>
      <c r="G1009" s="6">
        <v>24</v>
      </c>
      <c r="H1009" s="6">
        <v>0</v>
      </c>
      <c r="I1009" s="11">
        <v>0.2</v>
      </c>
      <c r="J1009">
        <v>1</v>
      </c>
    </row>
    <row r="1010" spans="1:10" x14ac:dyDescent="0.45">
      <c r="A1010" s="9">
        <v>1061</v>
      </c>
      <c r="B1010" s="9" t="s">
        <v>2362</v>
      </c>
      <c r="C1010" s="12">
        <v>0.15</v>
      </c>
      <c r="D1010" s="10">
        <v>0</v>
      </c>
      <c r="E1010" s="10">
        <v>0</v>
      </c>
      <c r="F1010" s="6">
        <v>0</v>
      </c>
      <c r="G1010" s="6">
        <v>31</v>
      </c>
      <c r="H1010" s="6">
        <v>0</v>
      </c>
      <c r="I1010" s="11">
        <v>0.2</v>
      </c>
      <c r="J1010">
        <v>1</v>
      </c>
    </row>
    <row r="1011" spans="1:10" x14ac:dyDescent="0.45">
      <c r="A1011" s="9">
        <v>1062</v>
      </c>
      <c r="B1011" s="9" t="s">
        <v>2363</v>
      </c>
      <c r="C1011" s="12">
        <v>0.15</v>
      </c>
      <c r="D1011" s="10">
        <v>0</v>
      </c>
      <c r="E1011" s="10">
        <v>0</v>
      </c>
      <c r="F1011" s="6">
        <v>0</v>
      </c>
      <c r="G1011" s="6">
        <v>1</v>
      </c>
      <c r="H1011" s="6">
        <v>0</v>
      </c>
      <c r="I1011" s="11">
        <v>0</v>
      </c>
      <c r="J1011">
        <v>1</v>
      </c>
    </row>
    <row r="1012" spans="1:10" x14ac:dyDescent="0.45">
      <c r="A1012" s="9">
        <v>16</v>
      </c>
      <c r="B1012" s="9" t="s">
        <v>2364</v>
      </c>
      <c r="C1012" s="12">
        <v>0.15</v>
      </c>
      <c r="D1012" s="10">
        <v>0</v>
      </c>
      <c r="E1012" s="10">
        <v>1</v>
      </c>
      <c r="F1012" s="6">
        <v>0</v>
      </c>
      <c r="G1012" s="6">
        <v>24</v>
      </c>
      <c r="H1012" s="6">
        <v>0</v>
      </c>
      <c r="I1012" s="11">
        <v>0.2</v>
      </c>
      <c r="J1012">
        <v>1</v>
      </c>
    </row>
    <row r="1013" spans="1:10" x14ac:dyDescent="0.45">
      <c r="A1013" s="9">
        <v>17</v>
      </c>
      <c r="B1013" s="9" t="s">
        <v>2365</v>
      </c>
      <c r="C1013" s="12">
        <v>0.15</v>
      </c>
      <c r="D1013" s="10">
        <v>0</v>
      </c>
      <c r="E1013" s="10">
        <v>0</v>
      </c>
      <c r="F1013" s="6">
        <v>0</v>
      </c>
      <c r="G1013" s="6">
        <v>31</v>
      </c>
      <c r="H1013" s="6">
        <v>0</v>
      </c>
      <c r="I1013" s="11">
        <v>0.2</v>
      </c>
      <c r="J1013">
        <v>1</v>
      </c>
    </row>
    <row r="1014" spans="1:10" x14ac:dyDescent="0.45">
      <c r="A1014" s="9">
        <v>18</v>
      </c>
      <c r="B1014" s="9" t="s">
        <v>2366</v>
      </c>
      <c r="C1014" s="12">
        <v>0.15</v>
      </c>
      <c r="D1014" s="10">
        <v>0</v>
      </c>
      <c r="E1014" s="10">
        <v>0</v>
      </c>
      <c r="F1014" s="6">
        <v>0</v>
      </c>
      <c r="G1014" s="6">
        <v>31</v>
      </c>
      <c r="H1014" s="6">
        <v>0</v>
      </c>
      <c r="I1014" s="11">
        <v>0.2</v>
      </c>
      <c r="J1014">
        <v>1</v>
      </c>
    </row>
    <row r="1015" spans="1:10" x14ac:dyDescent="0.45">
      <c r="A1015" s="9">
        <v>19</v>
      </c>
      <c r="B1015" s="9" t="s">
        <v>2367</v>
      </c>
      <c r="C1015" s="12">
        <v>0.15</v>
      </c>
      <c r="D1015" s="10">
        <v>0</v>
      </c>
      <c r="E1015" s="10">
        <v>0</v>
      </c>
      <c r="F1015" s="6">
        <v>0</v>
      </c>
      <c r="G1015" s="6">
        <v>31</v>
      </c>
      <c r="H1015" s="6">
        <v>0</v>
      </c>
      <c r="I1015" s="11">
        <v>0</v>
      </c>
      <c r="J1015">
        <v>1</v>
      </c>
    </row>
    <row r="1016" spans="1:10" x14ac:dyDescent="0.45">
      <c r="A1016" s="9">
        <v>20</v>
      </c>
      <c r="B1016" s="9" t="s">
        <v>2368</v>
      </c>
      <c r="C1016" s="12">
        <v>0.15</v>
      </c>
      <c r="D1016" s="10">
        <v>0</v>
      </c>
      <c r="E1016" s="10">
        <v>0</v>
      </c>
      <c r="F1016" s="6">
        <v>0</v>
      </c>
      <c r="G1016" s="6">
        <v>31</v>
      </c>
      <c r="H1016" s="6">
        <v>0</v>
      </c>
      <c r="I1016" s="11">
        <v>0</v>
      </c>
      <c r="J1016">
        <v>1</v>
      </c>
    </row>
    <row r="1017" spans="1:10" x14ac:dyDescent="0.45">
      <c r="A1017" s="9">
        <v>21</v>
      </c>
      <c r="B1017" s="9" t="s">
        <v>2369</v>
      </c>
      <c r="C1017" s="12">
        <v>0.15</v>
      </c>
      <c r="D1017" s="10">
        <v>0</v>
      </c>
      <c r="E1017" s="10">
        <v>0</v>
      </c>
      <c r="F1017" s="6">
        <v>0</v>
      </c>
      <c r="G1017" s="6">
        <v>31</v>
      </c>
      <c r="H1017" s="6">
        <v>0</v>
      </c>
      <c r="I1017" s="11">
        <v>0</v>
      </c>
      <c r="J1017">
        <v>1</v>
      </c>
    </row>
    <row r="1018" spans="1:10" x14ac:dyDescent="0.45">
      <c r="A1018" s="9">
        <v>22</v>
      </c>
      <c r="B1018" s="9" t="s">
        <v>2370</v>
      </c>
      <c r="C1018" s="12">
        <v>0</v>
      </c>
      <c r="D1018" s="10">
        <v>1</v>
      </c>
      <c r="E1018" s="10">
        <v>0</v>
      </c>
      <c r="F1018" s="6">
        <v>0</v>
      </c>
      <c r="G1018" s="6">
        <v>3</v>
      </c>
      <c r="H1018" s="6">
        <v>0</v>
      </c>
      <c r="I1018" s="11">
        <v>0</v>
      </c>
      <c r="J1018">
        <v>1</v>
      </c>
    </row>
    <row r="1019" spans="1:10" x14ac:dyDescent="0.45">
      <c r="A1019" s="9">
        <v>23</v>
      </c>
      <c r="B1019" s="9" t="s">
        <v>2371</v>
      </c>
      <c r="C1019" s="12">
        <v>0.15</v>
      </c>
      <c r="D1019" s="10">
        <v>0</v>
      </c>
      <c r="E1019" s="10">
        <v>0</v>
      </c>
      <c r="F1019" s="6">
        <v>0</v>
      </c>
      <c r="G1019" s="6">
        <v>31</v>
      </c>
      <c r="H1019" s="6">
        <v>0</v>
      </c>
      <c r="I1019" s="11">
        <v>0</v>
      </c>
      <c r="J1019">
        <v>1</v>
      </c>
    </row>
    <row r="1020" spans="1:10" x14ac:dyDescent="0.45">
      <c r="A1020" s="9">
        <v>24</v>
      </c>
      <c r="B1020" s="9" t="s">
        <v>2372</v>
      </c>
      <c r="C1020" s="12">
        <v>0.15</v>
      </c>
      <c r="D1020" s="10">
        <v>0</v>
      </c>
      <c r="E1020" s="10">
        <v>0</v>
      </c>
      <c r="F1020" s="6">
        <v>0</v>
      </c>
      <c r="G1020" s="6">
        <v>31</v>
      </c>
      <c r="H1020" s="6">
        <v>0</v>
      </c>
      <c r="I1020" s="11">
        <v>0.2</v>
      </c>
      <c r="J1020">
        <v>1</v>
      </c>
    </row>
    <row r="1021" spans="1:10" x14ac:dyDescent="0.45">
      <c r="A1021" s="9">
        <v>25</v>
      </c>
      <c r="B1021" s="9" t="s">
        <v>2373</v>
      </c>
      <c r="C1021" s="12">
        <v>0.15</v>
      </c>
      <c r="D1021" s="10">
        <v>0</v>
      </c>
      <c r="E1021" s="10">
        <v>0</v>
      </c>
      <c r="F1021" s="6">
        <v>0</v>
      </c>
      <c r="G1021" s="6">
        <v>31</v>
      </c>
      <c r="H1021" s="6">
        <v>0</v>
      </c>
      <c r="I1021" s="11">
        <v>0</v>
      </c>
      <c r="J1021">
        <v>1</v>
      </c>
    </row>
    <row r="1022" spans="1:10" x14ac:dyDescent="0.45">
      <c r="A1022" s="9">
        <v>26</v>
      </c>
      <c r="B1022" s="9" t="s">
        <v>2374</v>
      </c>
      <c r="C1022" s="12">
        <v>0.15</v>
      </c>
      <c r="D1022" s="10">
        <v>0</v>
      </c>
      <c r="E1022" s="10">
        <v>0</v>
      </c>
      <c r="F1022" s="6">
        <v>0</v>
      </c>
      <c r="G1022" s="6">
        <v>24</v>
      </c>
      <c r="H1022" s="6">
        <v>0</v>
      </c>
      <c r="I1022" s="11">
        <v>0.2</v>
      </c>
      <c r="J1022">
        <v>1</v>
      </c>
    </row>
    <row r="1023" spans="1:10" x14ac:dyDescent="0.45">
      <c r="A1023" s="9">
        <v>27</v>
      </c>
      <c r="B1023" s="9" t="s">
        <v>2375</v>
      </c>
      <c r="C1023" s="12">
        <v>0.15</v>
      </c>
      <c r="D1023" s="10">
        <v>0</v>
      </c>
      <c r="E1023" s="10">
        <v>0</v>
      </c>
      <c r="F1023" s="6">
        <v>0</v>
      </c>
      <c r="G1023" s="6">
        <v>29</v>
      </c>
      <c r="H1023" s="6">
        <v>0</v>
      </c>
      <c r="I1023" s="11">
        <v>0</v>
      </c>
      <c r="J1023">
        <v>1</v>
      </c>
    </row>
    <row r="1024" spans="1:10" x14ac:dyDescent="0.45">
      <c r="A1024" s="9">
        <v>28</v>
      </c>
      <c r="B1024" s="9" t="s">
        <v>2376</v>
      </c>
      <c r="C1024" s="12">
        <v>0.15</v>
      </c>
      <c r="D1024" s="10">
        <v>0</v>
      </c>
      <c r="E1024" s="10">
        <v>0</v>
      </c>
      <c r="F1024" s="6">
        <v>0</v>
      </c>
      <c r="G1024" s="6">
        <v>24</v>
      </c>
      <c r="H1024" s="6">
        <v>0</v>
      </c>
      <c r="I1024" s="11">
        <v>0</v>
      </c>
      <c r="J1024">
        <v>1</v>
      </c>
    </row>
    <row r="1025" spans="1:10" x14ac:dyDescent="0.45">
      <c r="A1025" s="9">
        <v>29</v>
      </c>
      <c r="B1025" s="9" t="s">
        <v>2377</v>
      </c>
      <c r="C1025" s="12">
        <v>0</v>
      </c>
      <c r="D1025" s="10">
        <v>1</v>
      </c>
      <c r="E1025" s="10">
        <v>0</v>
      </c>
      <c r="F1025" s="6">
        <v>0</v>
      </c>
      <c r="G1025" s="6">
        <v>24</v>
      </c>
      <c r="H1025" s="6">
        <v>0</v>
      </c>
      <c r="I1025" s="11">
        <v>0</v>
      </c>
      <c r="J1025">
        <v>1</v>
      </c>
    </row>
    <row r="1026" spans="1:10" x14ac:dyDescent="0.45">
      <c r="A1026" s="9">
        <v>30</v>
      </c>
      <c r="B1026" s="9" t="s">
        <v>2378</v>
      </c>
      <c r="C1026" s="12">
        <v>0.15</v>
      </c>
      <c r="D1026" s="10">
        <v>0</v>
      </c>
      <c r="E1026" s="10">
        <v>0</v>
      </c>
      <c r="F1026" s="6">
        <v>0</v>
      </c>
      <c r="G1026" s="6">
        <v>24</v>
      </c>
      <c r="H1026" s="6">
        <v>0</v>
      </c>
      <c r="I1026" s="11">
        <v>0</v>
      </c>
      <c r="J1026">
        <v>1</v>
      </c>
    </row>
    <row r="1027" spans="1:10" x14ac:dyDescent="0.45">
      <c r="A1027" s="9">
        <v>31</v>
      </c>
      <c r="B1027" s="9" t="s">
        <v>2379</v>
      </c>
      <c r="C1027" s="12">
        <v>0.15</v>
      </c>
      <c r="D1027" s="10">
        <v>0</v>
      </c>
      <c r="E1027" s="10">
        <v>0</v>
      </c>
      <c r="F1027" s="6">
        <v>0</v>
      </c>
      <c r="G1027" s="6">
        <v>29</v>
      </c>
      <c r="H1027" s="6">
        <v>0</v>
      </c>
      <c r="I1027" s="11">
        <v>0</v>
      </c>
      <c r="J1027">
        <v>1</v>
      </c>
    </row>
    <row r="1028" spans="1:10" x14ac:dyDescent="0.45">
      <c r="A1028" s="9">
        <v>32</v>
      </c>
      <c r="B1028" s="9" t="s">
        <v>2380</v>
      </c>
      <c r="C1028" s="12">
        <v>0.15</v>
      </c>
      <c r="D1028" s="10">
        <v>0</v>
      </c>
      <c r="E1028" s="10">
        <v>0</v>
      </c>
      <c r="F1028" s="6">
        <v>0</v>
      </c>
      <c r="G1028" s="6">
        <v>24</v>
      </c>
      <c r="H1028" s="6">
        <v>0</v>
      </c>
      <c r="I1028" s="11">
        <v>0</v>
      </c>
      <c r="J1028">
        <v>1</v>
      </c>
    </row>
    <row r="1029" spans="1:10" x14ac:dyDescent="0.45">
      <c r="A1029" s="9">
        <v>33</v>
      </c>
      <c r="B1029" s="9" t="s">
        <v>2381</v>
      </c>
      <c r="C1029" s="12">
        <v>0</v>
      </c>
      <c r="D1029" s="10">
        <v>1</v>
      </c>
      <c r="E1029" s="10">
        <v>0</v>
      </c>
      <c r="F1029" s="6">
        <v>0</v>
      </c>
      <c r="G1029" s="6">
        <v>1</v>
      </c>
      <c r="H1029" s="6">
        <v>0</v>
      </c>
      <c r="I1029" s="11">
        <v>0</v>
      </c>
      <c r="J1029">
        <v>1</v>
      </c>
    </row>
    <row r="1030" spans="1:10" x14ac:dyDescent="0.45">
      <c r="A1030" s="9">
        <v>34</v>
      </c>
      <c r="B1030" s="9" t="s">
        <v>2382</v>
      </c>
      <c r="C1030" s="12">
        <v>0.15</v>
      </c>
      <c r="D1030" s="10">
        <v>0</v>
      </c>
      <c r="E1030" s="10">
        <v>0</v>
      </c>
      <c r="F1030" s="6">
        <v>0</v>
      </c>
      <c r="G1030" s="6">
        <v>1</v>
      </c>
      <c r="H1030" s="6">
        <v>0</v>
      </c>
      <c r="I1030" s="11">
        <v>0.2</v>
      </c>
      <c r="J1030">
        <v>1</v>
      </c>
    </row>
    <row r="1031" spans="1:10" x14ac:dyDescent="0.45">
      <c r="A1031" s="9">
        <v>35</v>
      </c>
      <c r="B1031" s="9" t="s">
        <v>2383</v>
      </c>
      <c r="C1031" s="12">
        <v>0</v>
      </c>
      <c r="D1031" s="10">
        <v>1</v>
      </c>
      <c r="E1031" s="10">
        <v>0</v>
      </c>
      <c r="F1031" s="6">
        <v>0</v>
      </c>
      <c r="G1031" s="6">
        <v>9</v>
      </c>
      <c r="H1031" s="6">
        <v>0</v>
      </c>
      <c r="I1031" s="11">
        <v>0</v>
      </c>
      <c r="J1031">
        <v>1</v>
      </c>
    </row>
    <row r="1032" spans="1:10" x14ac:dyDescent="0.45">
      <c r="A1032" s="9">
        <v>36</v>
      </c>
      <c r="B1032" s="9" t="s">
        <v>2384</v>
      </c>
      <c r="C1032" s="12">
        <v>0.15</v>
      </c>
      <c r="D1032" s="10">
        <v>0</v>
      </c>
      <c r="E1032" s="10">
        <v>0</v>
      </c>
      <c r="F1032" s="6">
        <v>0</v>
      </c>
      <c r="G1032" s="6">
        <v>24</v>
      </c>
      <c r="H1032" s="6">
        <v>0</v>
      </c>
      <c r="I1032" s="11">
        <v>0.2</v>
      </c>
      <c r="J1032">
        <v>1</v>
      </c>
    </row>
    <row r="1033" spans="1:10" x14ac:dyDescent="0.45">
      <c r="A1033" s="9">
        <v>37</v>
      </c>
      <c r="B1033" s="9" t="s">
        <v>2385</v>
      </c>
      <c r="C1033" s="12">
        <v>0.15</v>
      </c>
      <c r="D1033" s="10">
        <v>0</v>
      </c>
      <c r="E1033" s="10">
        <v>0</v>
      </c>
      <c r="F1033" s="6">
        <v>0</v>
      </c>
      <c r="G1033" s="6">
        <v>24</v>
      </c>
      <c r="H1033" s="6">
        <v>0</v>
      </c>
      <c r="I1033" s="11">
        <v>0.1</v>
      </c>
      <c r="J1033">
        <v>1</v>
      </c>
    </row>
    <row r="1034" spans="1:10" x14ac:dyDescent="0.45">
      <c r="A1034" s="9">
        <v>38</v>
      </c>
      <c r="B1034" s="9" t="s">
        <v>2386</v>
      </c>
      <c r="C1034" s="12">
        <v>0.15</v>
      </c>
      <c r="D1034" s="10">
        <v>0</v>
      </c>
      <c r="E1034" s="10">
        <v>0</v>
      </c>
      <c r="F1034" s="6">
        <v>0</v>
      </c>
      <c r="G1034" s="6">
        <v>24</v>
      </c>
      <c r="H1034" s="6">
        <v>0</v>
      </c>
      <c r="I1034" s="11">
        <v>0.2</v>
      </c>
      <c r="J1034">
        <v>1</v>
      </c>
    </row>
    <row r="1035" spans="1:10" x14ac:dyDescent="0.45">
      <c r="A1035" s="9">
        <v>39</v>
      </c>
      <c r="B1035" s="9" t="s">
        <v>2387</v>
      </c>
      <c r="C1035" s="12">
        <v>0.15</v>
      </c>
      <c r="D1035" s="10">
        <v>0</v>
      </c>
      <c r="E1035" s="10">
        <v>0</v>
      </c>
      <c r="F1035" s="6">
        <v>0</v>
      </c>
      <c r="G1035" s="6">
        <v>24</v>
      </c>
      <c r="H1035" s="6">
        <v>0</v>
      </c>
      <c r="I1035" s="11">
        <v>0.2</v>
      </c>
      <c r="J1035">
        <v>1</v>
      </c>
    </row>
    <row r="1036" spans="1:10" x14ac:dyDescent="0.45">
      <c r="A1036" s="9">
        <v>40</v>
      </c>
      <c r="B1036" s="9" t="s">
        <v>2388</v>
      </c>
      <c r="C1036" s="12">
        <v>0.15</v>
      </c>
      <c r="D1036" s="10">
        <v>0</v>
      </c>
      <c r="E1036" s="10">
        <v>0</v>
      </c>
      <c r="F1036" s="6">
        <v>0</v>
      </c>
      <c r="G1036" s="6">
        <v>1</v>
      </c>
      <c r="H1036" s="6">
        <v>0</v>
      </c>
      <c r="I1036" s="11">
        <v>0</v>
      </c>
      <c r="J1036">
        <v>1</v>
      </c>
    </row>
    <row r="1037" spans="1:10" x14ac:dyDescent="0.45">
      <c r="A1037" s="9">
        <v>41</v>
      </c>
      <c r="B1037" s="9" t="s">
        <v>2389</v>
      </c>
      <c r="C1037" s="12">
        <v>0</v>
      </c>
      <c r="D1037" s="10">
        <v>1</v>
      </c>
      <c r="E1037" s="10">
        <v>0</v>
      </c>
      <c r="F1037" s="6">
        <v>0</v>
      </c>
      <c r="G1037" s="6">
        <v>33</v>
      </c>
      <c r="H1037" s="6">
        <v>0</v>
      </c>
      <c r="I1037" s="11">
        <v>0</v>
      </c>
      <c r="J1037">
        <v>1</v>
      </c>
    </row>
    <row r="1038" spans="1:10" x14ac:dyDescent="0.45">
      <c r="A1038" s="9">
        <v>42</v>
      </c>
      <c r="B1038" s="9" t="s">
        <v>2390</v>
      </c>
      <c r="C1038" s="12">
        <v>0.15</v>
      </c>
      <c r="D1038" s="10">
        <v>0</v>
      </c>
      <c r="E1038" s="10">
        <v>0</v>
      </c>
      <c r="F1038" s="6">
        <v>0</v>
      </c>
      <c r="G1038" s="6">
        <v>24</v>
      </c>
      <c r="H1038" s="6">
        <v>0</v>
      </c>
      <c r="I1038" s="11">
        <v>0.2</v>
      </c>
      <c r="J1038">
        <v>1</v>
      </c>
    </row>
    <row r="1039" spans="1:10" x14ac:dyDescent="0.45">
      <c r="A1039" s="9">
        <v>43</v>
      </c>
      <c r="B1039" s="9" t="s">
        <v>2391</v>
      </c>
      <c r="C1039" s="12">
        <v>0.15</v>
      </c>
      <c r="D1039" s="10">
        <v>0</v>
      </c>
      <c r="E1039" s="10">
        <v>0</v>
      </c>
      <c r="F1039" s="6">
        <v>0</v>
      </c>
      <c r="G1039" s="6">
        <v>24</v>
      </c>
      <c r="H1039" s="6">
        <v>0</v>
      </c>
      <c r="I1039" s="11">
        <v>0.2</v>
      </c>
      <c r="J1039">
        <v>1</v>
      </c>
    </row>
    <row r="1040" spans="1:10" x14ac:dyDescent="0.45">
      <c r="A1040" s="9">
        <v>44</v>
      </c>
      <c r="B1040" s="9" t="s">
        <v>2392</v>
      </c>
      <c r="C1040" s="12">
        <v>0.15</v>
      </c>
      <c r="D1040" s="10">
        <v>0</v>
      </c>
      <c r="E1040" s="10">
        <v>0</v>
      </c>
      <c r="F1040" s="6">
        <v>0</v>
      </c>
      <c r="G1040" s="6">
        <v>13</v>
      </c>
      <c r="H1040" s="6">
        <v>0</v>
      </c>
      <c r="I1040" s="11">
        <v>0.1</v>
      </c>
      <c r="J1040">
        <v>1</v>
      </c>
    </row>
    <row r="1041" spans="1:10" x14ac:dyDescent="0.45">
      <c r="A1041" s="9">
        <v>45</v>
      </c>
      <c r="B1041" s="9" t="s">
        <v>2393</v>
      </c>
      <c r="C1041" s="12">
        <v>0.15</v>
      </c>
      <c r="D1041" s="10">
        <v>0</v>
      </c>
      <c r="E1041" s="10">
        <v>0</v>
      </c>
      <c r="F1041" s="6">
        <v>0</v>
      </c>
      <c r="G1041" s="6">
        <v>9</v>
      </c>
      <c r="H1041" s="6">
        <v>0</v>
      </c>
      <c r="I1041" s="11">
        <v>0.2</v>
      </c>
      <c r="J1041">
        <v>1</v>
      </c>
    </row>
    <row r="1042" spans="1:10" x14ac:dyDescent="0.45">
      <c r="A1042" s="9">
        <v>46</v>
      </c>
      <c r="B1042" s="9" t="s">
        <v>2394</v>
      </c>
      <c r="C1042" s="12">
        <v>0</v>
      </c>
      <c r="D1042" s="10">
        <v>1</v>
      </c>
      <c r="E1042" s="10">
        <v>0</v>
      </c>
      <c r="F1042" s="6">
        <v>0</v>
      </c>
      <c r="G1042" s="6">
        <v>28</v>
      </c>
      <c r="H1042" s="6">
        <v>0</v>
      </c>
      <c r="I1042" s="11">
        <v>0</v>
      </c>
      <c r="J1042">
        <v>1</v>
      </c>
    </row>
    <row r="1043" spans="1:10" x14ac:dyDescent="0.45">
      <c r="A1043" s="9">
        <v>47</v>
      </c>
      <c r="B1043" s="9" t="s">
        <v>2395</v>
      </c>
      <c r="C1043" s="12">
        <v>0.15</v>
      </c>
      <c r="D1043" s="10">
        <v>0</v>
      </c>
      <c r="E1043" s="10">
        <v>0</v>
      </c>
      <c r="F1043" s="6">
        <v>0</v>
      </c>
      <c r="G1043" s="6">
        <v>30</v>
      </c>
      <c r="H1043" s="6">
        <v>0</v>
      </c>
      <c r="I1043" s="11">
        <v>0</v>
      </c>
      <c r="J1043">
        <v>1</v>
      </c>
    </row>
    <row r="1044" spans="1:10" x14ac:dyDescent="0.45">
      <c r="A1044" s="9">
        <v>48</v>
      </c>
      <c r="B1044" s="9" t="s">
        <v>2396</v>
      </c>
      <c r="C1044" s="12">
        <v>0.15</v>
      </c>
      <c r="D1044" s="10">
        <v>0</v>
      </c>
      <c r="E1044" s="10">
        <v>0</v>
      </c>
      <c r="F1044" s="6">
        <v>0</v>
      </c>
      <c r="G1044" s="6">
        <v>30</v>
      </c>
      <c r="H1044" s="6">
        <v>0</v>
      </c>
      <c r="I1044" s="11">
        <v>0</v>
      </c>
      <c r="J1044">
        <v>1</v>
      </c>
    </row>
    <row r="1045" spans="1:10" x14ac:dyDescent="0.45">
      <c r="A1045" s="9">
        <v>49</v>
      </c>
      <c r="B1045" s="9" t="s">
        <v>2397</v>
      </c>
      <c r="C1045" s="12">
        <v>0.15</v>
      </c>
      <c r="D1045" s="10">
        <v>0</v>
      </c>
      <c r="E1045" s="10">
        <v>0</v>
      </c>
      <c r="F1045" s="6">
        <v>0</v>
      </c>
      <c r="G1045" s="6">
        <v>24</v>
      </c>
      <c r="H1045" s="6">
        <v>0</v>
      </c>
      <c r="I1045" s="11">
        <v>0.2</v>
      </c>
      <c r="J1045">
        <v>1</v>
      </c>
    </row>
    <row r="1046" spans="1:10" x14ac:dyDescent="0.45">
      <c r="A1046" s="9">
        <v>50</v>
      </c>
      <c r="B1046" s="9" t="s">
        <v>2398</v>
      </c>
      <c r="C1046" s="12">
        <v>0.15</v>
      </c>
      <c r="D1046" s="10">
        <v>0</v>
      </c>
      <c r="E1046" s="10">
        <v>0</v>
      </c>
      <c r="F1046" s="6">
        <v>0</v>
      </c>
      <c r="G1046" s="6">
        <v>24</v>
      </c>
      <c r="H1046" s="6">
        <v>0</v>
      </c>
      <c r="I1046" s="11">
        <v>0.2</v>
      </c>
      <c r="J1046">
        <v>1</v>
      </c>
    </row>
    <row r="1047" spans="1:10" x14ac:dyDescent="0.45">
      <c r="A1047" s="9">
        <v>51</v>
      </c>
      <c r="B1047" s="9" t="s">
        <v>2399</v>
      </c>
      <c r="C1047" s="12">
        <v>0.15</v>
      </c>
      <c r="D1047" s="10">
        <v>0</v>
      </c>
      <c r="E1047" s="10">
        <v>0</v>
      </c>
      <c r="F1047" s="6">
        <v>0</v>
      </c>
      <c r="G1047" s="6">
        <v>24</v>
      </c>
      <c r="H1047" s="6">
        <v>0</v>
      </c>
      <c r="I1047" s="11">
        <v>0</v>
      </c>
      <c r="J1047">
        <v>1</v>
      </c>
    </row>
    <row r="1048" spans="1:10" x14ac:dyDescent="0.45">
      <c r="A1048" s="9">
        <v>52</v>
      </c>
      <c r="B1048" s="9" t="s">
        <v>2400</v>
      </c>
      <c r="C1048" s="12">
        <v>0.15</v>
      </c>
      <c r="D1048" s="10">
        <v>0</v>
      </c>
      <c r="E1048" s="10">
        <v>0</v>
      </c>
      <c r="F1048" s="6">
        <v>0</v>
      </c>
      <c r="G1048" s="6">
        <v>24</v>
      </c>
      <c r="H1048" s="6">
        <v>0</v>
      </c>
      <c r="I1048" s="11">
        <v>0.2</v>
      </c>
      <c r="J1048">
        <v>1</v>
      </c>
    </row>
    <row r="1049" spans="1:10" x14ac:dyDescent="0.45">
      <c r="A1049" s="9">
        <v>53</v>
      </c>
      <c r="B1049" s="9" t="s">
        <v>2401</v>
      </c>
      <c r="C1049" s="12">
        <v>0.15</v>
      </c>
      <c r="D1049" s="10">
        <v>0</v>
      </c>
      <c r="E1049" s="10">
        <v>0</v>
      </c>
      <c r="F1049" s="6">
        <v>0</v>
      </c>
      <c r="G1049" s="6">
        <v>24</v>
      </c>
      <c r="H1049" s="6">
        <v>0</v>
      </c>
      <c r="I1049" s="11">
        <v>0</v>
      </c>
      <c r="J1049">
        <v>1</v>
      </c>
    </row>
    <row r="1050" spans="1:10" x14ac:dyDescent="0.45">
      <c r="A1050" s="9">
        <v>54</v>
      </c>
      <c r="B1050" s="9" t="s">
        <v>2402</v>
      </c>
      <c r="C1050" s="12">
        <v>0.15</v>
      </c>
      <c r="D1050" s="10">
        <v>0</v>
      </c>
      <c r="E1050" s="10">
        <v>0</v>
      </c>
      <c r="F1050" s="6">
        <v>0</v>
      </c>
      <c r="G1050" s="6">
        <v>24</v>
      </c>
      <c r="H1050" s="6">
        <v>0</v>
      </c>
      <c r="I1050" s="11">
        <v>0.1</v>
      </c>
      <c r="J1050">
        <v>1</v>
      </c>
    </row>
    <row r="1051" spans="1:10" x14ac:dyDescent="0.45">
      <c r="A1051" s="9">
        <v>55</v>
      </c>
      <c r="B1051" s="9" t="s">
        <v>2403</v>
      </c>
      <c r="C1051" s="12">
        <v>0.15</v>
      </c>
      <c r="D1051" s="10">
        <v>0</v>
      </c>
      <c r="E1051" s="10">
        <v>0</v>
      </c>
      <c r="F1051" s="6">
        <v>0</v>
      </c>
      <c r="G1051" s="6">
        <v>24</v>
      </c>
      <c r="H1051" s="6">
        <v>0</v>
      </c>
      <c r="I1051" s="11">
        <v>0.05</v>
      </c>
      <c r="J1051">
        <v>1</v>
      </c>
    </row>
    <row r="1052" spans="1:10" x14ac:dyDescent="0.45">
      <c r="A1052" s="9">
        <v>56</v>
      </c>
      <c r="B1052" s="9" t="s">
        <v>2404</v>
      </c>
      <c r="C1052" s="12">
        <v>0.15</v>
      </c>
      <c r="D1052" s="10">
        <v>0</v>
      </c>
      <c r="E1052" s="10">
        <v>0</v>
      </c>
      <c r="F1052" s="6">
        <v>0</v>
      </c>
      <c r="G1052" s="6">
        <v>24</v>
      </c>
      <c r="H1052" s="6">
        <v>0</v>
      </c>
      <c r="I1052" s="11">
        <v>0.05</v>
      </c>
      <c r="J1052">
        <v>1</v>
      </c>
    </row>
    <row r="1053" spans="1:10" x14ac:dyDescent="0.45">
      <c r="A1053" s="9">
        <v>57</v>
      </c>
      <c r="B1053" s="9" t="s">
        <v>2405</v>
      </c>
      <c r="C1053" s="12">
        <v>0.15</v>
      </c>
      <c r="D1053" s="10">
        <v>0</v>
      </c>
      <c r="E1053" s="10">
        <v>0</v>
      </c>
      <c r="F1053" s="6">
        <v>0</v>
      </c>
      <c r="G1053" s="6">
        <v>24</v>
      </c>
      <c r="H1053" s="6">
        <v>0</v>
      </c>
      <c r="I1053" s="11">
        <v>0.05</v>
      </c>
      <c r="J1053">
        <v>1</v>
      </c>
    </row>
    <row r="1054" spans="1:10" x14ac:dyDescent="0.45">
      <c r="A1054" s="9">
        <v>58</v>
      </c>
      <c r="B1054" s="9" t="s">
        <v>2406</v>
      </c>
      <c r="C1054" s="12">
        <v>0.15</v>
      </c>
      <c r="D1054" s="10">
        <v>0</v>
      </c>
      <c r="E1054" s="10">
        <v>0</v>
      </c>
      <c r="F1054" s="6">
        <v>0</v>
      </c>
      <c r="G1054" s="6">
        <v>24</v>
      </c>
      <c r="H1054" s="6">
        <v>0</v>
      </c>
      <c r="I1054" s="11">
        <v>0</v>
      </c>
      <c r="J1054">
        <v>1</v>
      </c>
    </row>
    <row r="1055" spans="1:10" x14ac:dyDescent="0.45">
      <c r="A1055" s="9">
        <v>59</v>
      </c>
      <c r="B1055" s="9" t="s">
        <v>2407</v>
      </c>
      <c r="C1055" s="12">
        <v>0.15</v>
      </c>
      <c r="D1055" s="10">
        <v>0</v>
      </c>
      <c r="E1055" s="10">
        <v>0</v>
      </c>
      <c r="F1055" s="6">
        <v>0</v>
      </c>
      <c r="G1055" s="6">
        <v>24</v>
      </c>
      <c r="H1055" s="6">
        <v>0</v>
      </c>
      <c r="I1055" s="11">
        <v>0</v>
      </c>
      <c r="J1055">
        <v>1</v>
      </c>
    </row>
    <row r="1056" spans="1:10" x14ac:dyDescent="0.45">
      <c r="A1056" s="9">
        <v>60</v>
      </c>
      <c r="B1056" s="9" t="s">
        <v>2408</v>
      </c>
      <c r="C1056" s="12">
        <v>0.15</v>
      </c>
      <c r="D1056" s="10">
        <v>0</v>
      </c>
      <c r="E1056" s="10">
        <v>0</v>
      </c>
      <c r="F1056" s="6">
        <v>0</v>
      </c>
      <c r="G1056" s="6">
        <v>24</v>
      </c>
      <c r="H1056" s="6">
        <v>0</v>
      </c>
      <c r="I1056" s="11">
        <v>0</v>
      </c>
      <c r="J1056">
        <v>1</v>
      </c>
    </row>
    <row r="1057" spans="1:10" x14ac:dyDescent="0.45">
      <c r="A1057" s="9">
        <v>61</v>
      </c>
      <c r="B1057" s="9" t="s">
        <v>2409</v>
      </c>
      <c r="C1057" s="12">
        <v>0.15</v>
      </c>
      <c r="D1057" s="10">
        <v>0</v>
      </c>
      <c r="E1057" s="10">
        <v>0</v>
      </c>
      <c r="F1057" s="6">
        <v>0</v>
      </c>
      <c r="G1057" s="6">
        <v>24</v>
      </c>
      <c r="H1057" s="6">
        <v>0</v>
      </c>
      <c r="I1057" s="11">
        <v>0</v>
      </c>
      <c r="J1057">
        <v>1</v>
      </c>
    </row>
    <row r="1058" spans="1:10" x14ac:dyDescent="0.45">
      <c r="A1058" s="9">
        <v>62</v>
      </c>
      <c r="B1058" s="9" t="s">
        <v>2410</v>
      </c>
      <c r="C1058" s="12">
        <v>0.15</v>
      </c>
      <c r="D1058" s="10">
        <v>0</v>
      </c>
      <c r="E1058" s="10">
        <v>0</v>
      </c>
      <c r="F1058" s="6">
        <v>0</v>
      </c>
      <c r="G1058" s="6">
        <v>24</v>
      </c>
      <c r="H1058" s="6">
        <v>0</v>
      </c>
      <c r="I1058" s="11">
        <v>0</v>
      </c>
      <c r="J1058">
        <v>1</v>
      </c>
    </row>
    <row r="1059" spans="1:10" x14ac:dyDescent="0.45">
      <c r="A1059" s="9">
        <v>63</v>
      </c>
      <c r="B1059" s="9" t="s">
        <v>2411</v>
      </c>
      <c r="C1059" s="12">
        <v>0.15</v>
      </c>
      <c r="D1059" s="10">
        <v>0</v>
      </c>
      <c r="E1059" s="10">
        <v>0</v>
      </c>
      <c r="F1059" s="6">
        <v>0</v>
      </c>
      <c r="G1059" s="6">
        <v>24</v>
      </c>
      <c r="H1059" s="6">
        <v>0</v>
      </c>
      <c r="I1059" s="11">
        <v>0</v>
      </c>
      <c r="J1059">
        <v>1</v>
      </c>
    </row>
    <row r="1060" spans="1:10" x14ac:dyDescent="0.45">
      <c r="A1060" s="9">
        <v>64</v>
      </c>
      <c r="B1060" s="9" t="s">
        <v>2412</v>
      </c>
      <c r="C1060" s="12">
        <v>0.15</v>
      </c>
      <c r="D1060" s="10">
        <v>0</v>
      </c>
      <c r="E1060" s="10">
        <v>0</v>
      </c>
      <c r="F1060" s="6">
        <v>0</v>
      </c>
      <c r="G1060" s="6">
        <v>24</v>
      </c>
      <c r="H1060" s="6">
        <v>0</v>
      </c>
      <c r="I1060" s="11">
        <v>0</v>
      </c>
      <c r="J1060">
        <v>1</v>
      </c>
    </row>
    <row r="1061" spans="1:10" x14ac:dyDescent="0.45">
      <c r="A1061" s="9">
        <v>65</v>
      </c>
      <c r="B1061" s="9" t="s">
        <v>2413</v>
      </c>
      <c r="C1061" s="12">
        <v>0.15</v>
      </c>
      <c r="D1061" s="10">
        <v>0</v>
      </c>
      <c r="E1061" s="10">
        <v>0</v>
      </c>
      <c r="F1061" s="6">
        <v>0</v>
      </c>
      <c r="G1061" s="6">
        <v>24</v>
      </c>
      <c r="H1061" s="6">
        <v>0</v>
      </c>
      <c r="I1061" s="11">
        <v>0.05</v>
      </c>
      <c r="J1061">
        <v>1</v>
      </c>
    </row>
    <row r="1062" spans="1:10" x14ac:dyDescent="0.45">
      <c r="A1062" s="9">
        <v>66</v>
      </c>
      <c r="B1062" s="9" t="s">
        <v>2414</v>
      </c>
      <c r="C1062" s="12">
        <v>0</v>
      </c>
      <c r="D1062" s="10">
        <v>1</v>
      </c>
      <c r="E1062" s="10">
        <v>0</v>
      </c>
      <c r="F1062" s="6">
        <v>0</v>
      </c>
      <c r="G1062" s="6">
        <v>19</v>
      </c>
      <c r="H1062" s="6">
        <v>0</v>
      </c>
      <c r="I1062" s="11">
        <v>0</v>
      </c>
      <c r="J1062">
        <v>1</v>
      </c>
    </row>
    <row r="1063" spans="1:10" x14ac:dyDescent="0.45">
      <c r="A1063" s="9">
        <v>67</v>
      </c>
      <c r="B1063" s="9" t="s">
        <v>2415</v>
      </c>
      <c r="C1063" s="12">
        <v>0.15</v>
      </c>
      <c r="D1063" s="10">
        <v>0</v>
      </c>
      <c r="E1063" s="10">
        <v>0</v>
      </c>
      <c r="F1063" s="6">
        <v>0</v>
      </c>
      <c r="G1063" s="6">
        <v>24</v>
      </c>
      <c r="H1063" s="6">
        <v>0</v>
      </c>
      <c r="I1063" s="11">
        <v>0.05</v>
      </c>
      <c r="J106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CC41-71B5-4FC7-9F5B-6AC688F0CF46}">
  <sheetPr>
    <tabColor theme="7" tint="0.59999389629810485"/>
  </sheetPr>
  <dimension ref="A1:J422"/>
  <sheetViews>
    <sheetView workbookViewId="0">
      <selection activeCell="N35" sqref="N35"/>
    </sheetView>
  </sheetViews>
  <sheetFormatPr defaultColWidth="8.73046875" defaultRowHeight="14.25" x14ac:dyDescent="0.45"/>
  <cols>
    <col min="2" max="2" width="24.3984375" customWidth="1"/>
  </cols>
  <sheetData>
    <row r="1" spans="1:10" x14ac:dyDescent="0.45">
      <c r="A1" t="s">
        <v>911</v>
      </c>
      <c r="B1" t="s">
        <v>912</v>
      </c>
      <c r="C1" t="s">
        <v>913</v>
      </c>
      <c r="D1" s="2" t="s">
        <v>914</v>
      </c>
      <c r="E1" t="s">
        <v>918</v>
      </c>
      <c r="F1" t="s">
        <v>916</v>
      </c>
      <c r="G1" t="s">
        <v>919</v>
      </c>
      <c r="H1" t="s">
        <v>915</v>
      </c>
      <c r="I1" t="s">
        <v>917</v>
      </c>
      <c r="J1" t="s">
        <v>920</v>
      </c>
    </row>
    <row r="2" spans="1:10" x14ac:dyDescent="0.45">
      <c r="A2">
        <v>1</v>
      </c>
      <c r="B2" t="s">
        <v>2416</v>
      </c>
      <c r="C2">
        <v>0.16</v>
      </c>
      <c r="D2">
        <v>0</v>
      </c>
      <c r="E2">
        <v>0</v>
      </c>
      <c r="F2">
        <v>0</v>
      </c>
      <c r="G2">
        <v>0</v>
      </c>
      <c r="H2">
        <v>0</v>
      </c>
      <c r="I2">
        <v>23</v>
      </c>
      <c r="J2">
        <v>1</v>
      </c>
    </row>
    <row r="3" spans="1:10" x14ac:dyDescent="0.45">
      <c r="A3">
        <v>2</v>
      </c>
      <c r="B3" t="s">
        <v>2417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23</v>
      </c>
      <c r="J3">
        <v>1</v>
      </c>
    </row>
    <row r="4" spans="1:10" x14ac:dyDescent="0.45">
      <c r="A4">
        <v>3</v>
      </c>
      <c r="B4" t="s">
        <v>2418</v>
      </c>
      <c r="C4">
        <v>0.16</v>
      </c>
      <c r="D4">
        <v>0</v>
      </c>
      <c r="E4">
        <v>0</v>
      </c>
      <c r="F4">
        <v>0</v>
      </c>
      <c r="G4">
        <v>0</v>
      </c>
      <c r="H4">
        <v>0</v>
      </c>
      <c r="I4">
        <v>23</v>
      </c>
      <c r="J4">
        <v>1</v>
      </c>
    </row>
    <row r="5" spans="1:10" x14ac:dyDescent="0.45">
      <c r="A5">
        <v>4</v>
      </c>
      <c r="B5" t="s">
        <v>2419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23</v>
      </c>
      <c r="J5">
        <v>1</v>
      </c>
    </row>
    <row r="6" spans="1:10" x14ac:dyDescent="0.45">
      <c r="A6">
        <v>5</v>
      </c>
      <c r="B6" t="s">
        <v>2420</v>
      </c>
      <c r="C6">
        <v>0</v>
      </c>
      <c r="D6">
        <v>1</v>
      </c>
      <c r="E6">
        <v>0</v>
      </c>
      <c r="F6">
        <v>0</v>
      </c>
      <c r="G6">
        <v>0.05</v>
      </c>
      <c r="H6">
        <v>0</v>
      </c>
      <c r="I6">
        <v>1</v>
      </c>
      <c r="J6">
        <v>1</v>
      </c>
    </row>
    <row r="7" spans="1:10" x14ac:dyDescent="0.45">
      <c r="A7">
        <v>6</v>
      </c>
      <c r="B7" t="s">
        <v>2421</v>
      </c>
      <c r="C7">
        <v>0</v>
      </c>
      <c r="D7">
        <v>1</v>
      </c>
      <c r="E7">
        <v>0</v>
      </c>
      <c r="F7">
        <v>0</v>
      </c>
      <c r="G7">
        <v>0.05</v>
      </c>
      <c r="H7">
        <v>0</v>
      </c>
      <c r="I7">
        <v>1</v>
      </c>
      <c r="J7">
        <v>1</v>
      </c>
    </row>
    <row r="8" spans="1:10" x14ac:dyDescent="0.45">
      <c r="A8">
        <v>7</v>
      </c>
      <c r="B8" t="s">
        <v>2422</v>
      </c>
      <c r="C8">
        <v>0</v>
      </c>
      <c r="D8">
        <v>1</v>
      </c>
      <c r="E8">
        <v>0</v>
      </c>
      <c r="F8">
        <v>0</v>
      </c>
      <c r="G8">
        <v>0.05</v>
      </c>
      <c r="H8">
        <v>1</v>
      </c>
      <c r="I8">
        <v>1</v>
      </c>
      <c r="J8">
        <v>1</v>
      </c>
    </row>
    <row r="9" spans="1:10" x14ac:dyDescent="0.45">
      <c r="A9">
        <v>8</v>
      </c>
      <c r="B9" t="s">
        <v>2423</v>
      </c>
      <c r="C9">
        <v>0</v>
      </c>
      <c r="D9">
        <v>1</v>
      </c>
      <c r="E9">
        <v>0</v>
      </c>
      <c r="F9">
        <v>0</v>
      </c>
      <c r="G9">
        <v>0.2</v>
      </c>
      <c r="H9">
        <v>1</v>
      </c>
      <c r="I9">
        <v>1</v>
      </c>
      <c r="J9">
        <v>1</v>
      </c>
    </row>
    <row r="10" spans="1:10" x14ac:dyDescent="0.45">
      <c r="A10">
        <v>9</v>
      </c>
      <c r="B10" t="s">
        <v>2424</v>
      </c>
      <c r="C10">
        <v>0</v>
      </c>
      <c r="D10">
        <v>1</v>
      </c>
      <c r="E10">
        <v>0</v>
      </c>
      <c r="F10">
        <v>0</v>
      </c>
      <c r="G10">
        <v>0.2</v>
      </c>
      <c r="H10">
        <v>1</v>
      </c>
      <c r="I10">
        <v>1</v>
      </c>
      <c r="J10">
        <v>1</v>
      </c>
    </row>
    <row r="11" spans="1:10" x14ac:dyDescent="0.45">
      <c r="A11">
        <v>10</v>
      </c>
      <c r="B11" t="s">
        <v>2425</v>
      </c>
      <c r="C11">
        <v>0</v>
      </c>
      <c r="D11">
        <v>1</v>
      </c>
      <c r="E11">
        <v>0</v>
      </c>
      <c r="F11">
        <v>0</v>
      </c>
      <c r="G11">
        <v>0.2</v>
      </c>
      <c r="H11">
        <v>1</v>
      </c>
      <c r="I11">
        <v>1</v>
      </c>
      <c r="J11">
        <v>1</v>
      </c>
    </row>
    <row r="12" spans="1:10" x14ac:dyDescent="0.45">
      <c r="A12">
        <v>11</v>
      </c>
      <c r="B12" t="s">
        <v>2426</v>
      </c>
      <c r="C12">
        <v>0</v>
      </c>
      <c r="D12">
        <v>1</v>
      </c>
      <c r="E12">
        <v>0</v>
      </c>
      <c r="F12">
        <v>0</v>
      </c>
      <c r="G12">
        <v>0.05</v>
      </c>
      <c r="H12">
        <v>0</v>
      </c>
      <c r="I12">
        <v>1</v>
      </c>
      <c r="J12">
        <v>1</v>
      </c>
    </row>
    <row r="13" spans="1:10" x14ac:dyDescent="0.45">
      <c r="A13">
        <v>12</v>
      </c>
      <c r="B13" t="s">
        <v>2427</v>
      </c>
      <c r="C13">
        <v>0</v>
      </c>
      <c r="D13">
        <v>1</v>
      </c>
      <c r="E13">
        <v>0</v>
      </c>
      <c r="F13">
        <v>0</v>
      </c>
      <c r="G13">
        <v>0.2</v>
      </c>
      <c r="H13">
        <v>1</v>
      </c>
      <c r="I13">
        <v>1</v>
      </c>
      <c r="J13">
        <v>1</v>
      </c>
    </row>
    <row r="14" spans="1:10" x14ac:dyDescent="0.45">
      <c r="A14">
        <v>13</v>
      </c>
      <c r="B14" t="s">
        <v>929</v>
      </c>
      <c r="C14">
        <v>0</v>
      </c>
      <c r="D14">
        <v>1</v>
      </c>
      <c r="E14">
        <v>0</v>
      </c>
      <c r="F14">
        <v>0</v>
      </c>
      <c r="G14">
        <v>0.05</v>
      </c>
      <c r="H14">
        <v>1</v>
      </c>
      <c r="I14">
        <v>1</v>
      </c>
      <c r="J14">
        <v>1</v>
      </c>
    </row>
    <row r="15" spans="1:10" x14ac:dyDescent="0.45">
      <c r="A15">
        <v>14</v>
      </c>
      <c r="B15" t="s">
        <v>931</v>
      </c>
      <c r="C15">
        <v>0</v>
      </c>
      <c r="D15">
        <v>1</v>
      </c>
      <c r="E15">
        <v>0</v>
      </c>
      <c r="F15">
        <v>0</v>
      </c>
      <c r="G15">
        <v>0.05</v>
      </c>
      <c r="H15">
        <v>1</v>
      </c>
      <c r="I15">
        <v>1</v>
      </c>
      <c r="J15">
        <v>1</v>
      </c>
    </row>
    <row r="16" spans="1:10" x14ac:dyDescent="0.45">
      <c r="A16">
        <v>15</v>
      </c>
      <c r="B16" t="s">
        <v>2428</v>
      </c>
      <c r="C16">
        <v>0.16</v>
      </c>
      <c r="D16">
        <v>0</v>
      </c>
      <c r="E16">
        <v>0</v>
      </c>
      <c r="F16">
        <v>0</v>
      </c>
      <c r="G16">
        <v>0.2</v>
      </c>
      <c r="H16">
        <v>1</v>
      </c>
      <c r="I16">
        <v>1</v>
      </c>
      <c r="J16">
        <v>1</v>
      </c>
    </row>
    <row r="17" spans="1:10" x14ac:dyDescent="0.45">
      <c r="A17">
        <v>16</v>
      </c>
      <c r="B17" t="s">
        <v>2429</v>
      </c>
      <c r="C17">
        <v>0</v>
      </c>
      <c r="D17">
        <v>1</v>
      </c>
      <c r="E17">
        <v>0</v>
      </c>
      <c r="F17">
        <v>0</v>
      </c>
      <c r="G17">
        <v>0.2</v>
      </c>
      <c r="H17">
        <v>0</v>
      </c>
      <c r="I17">
        <v>1</v>
      </c>
      <c r="J17">
        <v>1</v>
      </c>
    </row>
    <row r="18" spans="1:10" x14ac:dyDescent="0.45">
      <c r="A18">
        <v>17</v>
      </c>
      <c r="B18" t="s">
        <v>2430</v>
      </c>
      <c r="C18">
        <v>0</v>
      </c>
      <c r="D18">
        <v>1</v>
      </c>
      <c r="E18">
        <v>0</v>
      </c>
      <c r="F18">
        <v>0</v>
      </c>
      <c r="G18">
        <v>0.05</v>
      </c>
      <c r="H18">
        <v>0</v>
      </c>
      <c r="I18">
        <v>1</v>
      </c>
      <c r="J18">
        <v>1</v>
      </c>
    </row>
    <row r="19" spans="1:10" x14ac:dyDescent="0.45">
      <c r="A19">
        <v>18</v>
      </c>
      <c r="B19" t="s">
        <v>2431</v>
      </c>
      <c r="C19">
        <v>0.16</v>
      </c>
      <c r="D19">
        <v>0</v>
      </c>
      <c r="E19">
        <v>0</v>
      </c>
      <c r="F19">
        <v>0</v>
      </c>
      <c r="G19">
        <v>0.05</v>
      </c>
      <c r="H19">
        <v>1</v>
      </c>
      <c r="I19">
        <v>1</v>
      </c>
      <c r="J19">
        <v>1</v>
      </c>
    </row>
    <row r="20" spans="1:10" x14ac:dyDescent="0.45">
      <c r="A20">
        <v>19</v>
      </c>
      <c r="B20" t="s">
        <v>2432</v>
      </c>
      <c r="C20">
        <v>0</v>
      </c>
      <c r="D20">
        <v>1</v>
      </c>
      <c r="E20">
        <v>0</v>
      </c>
      <c r="F20">
        <v>0</v>
      </c>
      <c r="G20">
        <v>0.05</v>
      </c>
      <c r="H20">
        <v>0</v>
      </c>
      <c r="I20">
        <v>1</v>
      </c>
      <c r="J20">
        <v>1</v>
      </c>
    </row>
    <row r="21" spans="1:10" x14ac:dyDescent="0.45">
      <c r="A21">
        <v>20</v>
      </c>
      <c r="B21" t="s">
        <v>2433</v>
      </c>
      <c r="C21">
        <v>0</v>
      </c>
      <c r="D21">
        <v>1</v>
      </c>
      <c r="E21">
        <v>0</v>
      </c>
      <c r="F21">
        <v>0</v>
      </c>
      <c r="G21">
        <v>0.2</v>
      </c>
      <c r="H21">
        <v>0</v>
      </c>
      <c r="I21">
        <v>1</v>
      </c>
      <c r="J21">
        <v>1</v>
      </c>
    </row>
    <row r="22" spans="1:10" x14ac:dyDescent="0.45">
      <c r="A22">
        <v>21</v>
      </c>
      <c r="B22" t="s">
        <v>2434</v>
      </c>
      <c r="C22">
        <v>0</v>
      </c>
      <c r="D22">
        <v>1</v>
      </c>
      <c r="E22">
        <v>0</v>
      </c>
      <c r="F22">
        <v>0</v>
      </c>
      <c r="G22">
        <v>0.2</v>
      </c>
      <c r="H22">
        <v>0</v>
      </c>
      <c r="I22">
        <v>1</v>
      </c>
      <c r="J22">
        <v>1</v>
      </c>
    </row>
    <row r="23" spans="1:10" x14ac:dyDescent="0.45">
      <c r="A23">
        <v>22</v>
      </c>
      <c r="B23" t="s">
        <v>2435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</row>
    <row r="24" spans="1:10" x14ac:dyDescent="0.45">
      <c r="A24">
        <v>23</v>
      </c>
      <c r="B24" t="s">
        <v>2436</v>
      </c>
      <c r="C24">
        <v>0</v>
      </c>
      <c r="D24">
        <v>1</v>
      </c>
      <c r="E24">
        <v>0</v>
      </c>
      <c r="F24">
        <v>0</v>
      </c>
      <c r="G24">
        <v>0.2</v>
      </c>
      <c r="H24">
        <v>0</v>
      </c>
      <c r="I24">
        <v>1</v>
      </c>
      <c r="J24">
        <v>1</v>
      </c>
    </row>
    <row r="25" spans="1:10" x14ac:dyDescent="0.45">
      <c r="A25">
        <v>24</v>
      </c>
      <c r="B25" t="s">
        <v>2205</v>
      </c>
      <c r="C25">
        <v>0</v>
      </c>
      <c r="D25">
        <v>1</v>
      </c>
      <c r="E25">
        <v>0</v>
      </c>
      <c r="F25">
        <v>0</v>
      </c>
      <c r="G25">
        <v>0.2</v>
      </c>
      <c r="H25">
        <v>0</v>
      </c>
      <c r="I25">
        <v>1</v>
      </c>
      <c r="J25">
        <v>1</v>
      </c>
    </row>
    <row r="26" spans="1:10" x14ac:dyDescent="0.45">
      <c r="A26">
        <v>25</v>
      </c>
      <c r="B26" t="s">
        <v>2437</v>
      </c>
      <c r="C26">
        <v>0</v>
      </c>
      <c r="D26">
        <v>1</v>
      </c>
      <c r="E26">
        <v>0</v>
      </c>
      <c r="F26">
        <v>0</v>
      </c>
      <c r="G26">
        <v>0.2</v>
      </c>
      <c r="H26">
        <v>0</v>
      </c>
      <c r="I26">
        <v>1</v>
      </c>
      <c r="J26">
        <v>1</v>
      </c>
    </row>
    <row r="27" spans="1:10" x14ac:dyDescent="0.45">
      <c r="A27">
        <v>26</v>
      </c>
      <c r="B27" t="s">
        <v>2438</v>
      </c>
      <c r="C27">
        <v>0</v>
      </c>
      <c r="D27">
        <v>1</v>
      </c>
      <c r="E27">
        <v>0</v>
      </c>
      <c r="F27">
        <v>0</v>
      </c>
      <c r="G27">
        <v>0.2</v>
      </c>
      <c r="H27">
        <v>0</v>
      </c>
      <c r="I27">
        <v>1</v>
      </c>
      <c r="J27">
        <v>1</v>
      </c>
    </row>
    <row r="28" spans="1:10" x14ac:dyDescent="0.45">
      <c r="A28">
        <v>27</v>
      </c>
      <c r="B28" t="s">
        <v>2439</v>
      </c>
      <c r="C28">
        <v>0.16</v>
      </c>
      <c r="D28">
        <v>0</v>
      </c>
      <c r="E28">
        <v>0</v>
      </c>
      <c r="F28">
        <v>0</v>
      </c>
      <c r="G28">
        <v>0.2</v>
      </c>
      <c r="H28">
        <v>0</v>
      </c>
      <c r="I28">
        <v>1</v>
      </c>
      <c r="J28">
        <v>1</v>
      </c>
    </row>
    <row r="29" spans="1:10" x14ac:dyDescent="0.45">
      <c r="A29">
        <v>28</v>
      </c>
      <c r="B29" t="s">
        <v>2440</v>
      </c>
      <c r="C29">
        <v>0.16</v>
      </c>
      <c r="D29">
        <v>0</v>
      </c>
      <c r="E29">
        <v>0</v>
      </c>
      <c r="F29">
        <v>0</v>
      </c>
      <c r="G29">
        <v>0.2</v>
      </c>
      <c r="H29">
        <v>0</v>
      </c>
      <c r="I29">
        <v>1</v>
      </c>
      <c r="J29">
        <v>1</v>
      </c>
    </row>
    <row r="30" spans="1:10" x14ac:dyDescent="0.45">
      <c r="A30">
        <v>29</v>
      </c>
      <c r="B30" t="s">
        <v>2441</v>
      </c>
      <c r="C30">
        <v>0</v>
      </c>
      <c r="D30">
        <v>1</v>
      </c>
      <c r="E30">
        <v>0</v>
      </c>
      <c r="F30">
        <v>0</v>
      </c>
      <c r="G30">
        <v>0.2</v>
      </c>
      <c r="H30">
        <v>0</v>
      </c>
      <c r="I30">
        <v>1</v>
      </c>
      <c r="J30">
        <v>1</v>
      </c>
    </row>
    <row r="31" spans="1:10" x14ac:dyDescent="0.45">
      <c r="A31">
        <v>30</v>
      </c>
      <c r="B31" t="s">
        <v>2442</v>
      </c>
      <c r="C31">
        <v>0</v>
      </c>
      <c r="D31">
        <v>1</v>
      </c>
      <c r="E31">
        <v>0</v>
      </c>
      <c r="F31">
        <v>0</v>
      </c>
      <c r="G31">
        <v>0.2</v>
      </c>
      <c r="H31">
        <v>1</v>
      </c>
      <c r="I31">
        <v>1</v>
      </c>
      <c r="J31">
        <v>1</v>
      </c>
    </row>
    <row r="32" spans="1:10" x14ac:dyDescent="0.45">
      <c r="A32">
        <v>31</v>
      </c>
      <c r="B32" t="s">
        <v>2443</v>
      </c>
      <c r="C32">
        <v>0</v>
      </c>
      <c r="D32">
        <v>1</v>
      </c>
      <c r="E32">
        <v>0</v>
      </c>
      <c r="F32">
        <v>0</v>
      </c>
      <c r="G32">
        <v>0.2</v>
      </c>
      <c r="H32">
        <v>0</v>
      </c>
      <c r="I32">
        <v>1</v>
      </c>
      <c r="J32">
        <v>1</v>
      </c>
    </row>
    <row r="33" spans="1:10" x14ac:dyDescent="0.45">
      <c r="A33">
        <v>32</v>
      </c>
      <c r="B33" t="s">
        <v>2444</v>
      </c>
      <c r="C33">
        <v>0</v>
      </c>
      <c r="D33">
        <v>1</v>
      </c>
      <c r="E33">
        <v>0</v>
      </c>
      <c r="F33">
        <v>0</v>
      </c>
      <c r="G33">
        <v>0.2</v>
      </c>
      <c r="H33">
        <v>0</v>
      </c>
      <c r="I33">
        <v>1</v>
      </c>
      <c r="J33">
        <v>1</v>
      </c>
    </row>
    <row r="34" spans="1:10" x14ac:dyDescent="0.45">
      <c r="A34">
        <v>33</v>
      </c>
      <c r="B34" t="s">
        <v>2445</v>
      </c>
      <c r="C34">
        <v>0</v>
      </c>
      <c r="D34">
        <v>1</v>
      </c>
      <c r="E34">
        <v>0</v>
      </c>
      <c r="F34">
        <v>0</v>
      </c>
      <c r="G34">
        <v>0.2</v>
      </c>
      <c r="H34">
        <v>0</v>
      </c>
      <c r="I34">
        <v>1</v>
      </c>
      <c r="J34">
        <v>1</v>
      </c>
    </row>
    <row r="35" spans="1:10" x14ac:dyDescent="0.45">
      <c r="A35">
        <v>34</v>
      </c>
      <c r="B35" t="s">
        <v>2446</v>
      </c>
      <c r="C35">
        <v>0</v>
      </c>
      <c r="D35">
        <v>1</v>
      </c>
      <c r="E35">
        <v>0</v>
      </c>
      <c r="F35">
        <v>0</v>
      </c>
      <c r="G35">
        <v>0.2</v>
      </c>
      <c r="H35">
        <v>0</v>
      </c>
      <c r="I35">
        <v>1</v>
      </c>
      <c r="J35">
        <v>1</v>
      </c>
    </row>
    <row r="36" spans="1:10" x14ac:dyDescent="0.45">
      <c r="A36">
        <v>35</v>
      </c>
      <c r="B36" t="s">
        <v>2447</v>
      </c>
      <c r="C36">
        <v>0.16</v>
      </c>
      <c r="D36">
        <v>0</v>
      </c>
      <c r="E36">
        <v>0</v>
      </c>
      <c r="F36">
        <v>0</v>
      </c>
      <c r="G36">
        <v>0.2</v>
      </c>
      <c r="H36">
        <v>0</v>
      </c>
      <c r="I36">
        <v>1</v>
      </c>
      <c r="J36">
        <v>1</v>
      </c>
    </row>
    <row r="37" spans="1:10" x14ac:dyDescent="0.45">
      <c r="A37">
        <v>36</v>
      </c>
      <c r="B37" t="s">
        <v>2448</v>
      </c>
      <c r="C37">
        <v>0.16</v>
      </c>
      <c r="D37">
        <v>0</v>
      </c>
      <c r="E37">
        <v>0</v>
      </c>
      <c r="F37">
        <v>0</v>
      </c>
      <c r="G37">
        <v>0.2</v>
      </c>
      <c r="H37">
        <v>0</v>
      </c>
      <c r="I37">
        <v>1</v>
      </c>
      <c r="J37">
        <v>1</v>
      </c>
    </row>
    <row r="38" spans="1:10" x14ac:dyDescent="0.45">
      <c r="A38">
        <v>37</v>
      </c>
      <c r="B38" t="s">
        <v>2449</v>
      </c>
      <c r="C38">
        <v>0</v>
      </c>
      <c r="D38">
        <v>1</v>
      </c>
      <c r="E38">
        <v>0</v>
      </c>
      <c r="F38">
        <v>0</v>
      </c>
      <c r="G38">
        <v>0.2</v>
      </c>
      <c r="H38">
        <v>0</v>
      </c>
      <c r="I38">
        <v>1</v>
      </c>
      <c r="J38">
        <v>1</v>
      </c>
    </row>
    <row r="39" spans="1:10" x14ac:dyDescent="0.45">
      <c r="A39">
        <v>38</v>
      </c>
      <c r="B39" t="s">
        <v>2450</v>
      </c>
      <c r="C39">
        <v>0</v>
      </c>
      <c r="D39">
        <v>1</v>
      </c>
      <c r="E39">
        <v>0</v>
      </c>
      <c r="F39">
        <v>0</v>
      </c>
      <c r="G39">
        <v>0.05</v>
      </c>
      <c r="H39">
        <v>0</v>
      </c>
      <c r="I39">
        <v>1</v>
      </c>
      <c r="J39">
        <v>1</v>
      </c>
    </row>
    <row r="40" spans="1:10" x14ac:dyDescent="0.45">
      <c r="A40">
        <v>39</v>
      </c>
      <c r="B40" t="s">
        <v>2451</v>
      </c>
      <c r="C40">
        <v>0</v>
      </c>
      <c r="D40">
        <v>1</v>
      </c>
      <c r="E40">
        <v>0</v>
      </c>
      <c r="F40">
        <v>0</v>
      </c>
      <c r="G40">
        <v>0.05</v>
      </c>
      <c r="H40">
        <v>0</v>
      </c>
      <c r="I40">
        <v>1</v>
      </c>
      <c r="J40">
        <v>1</v>
      </c>
    </row>
    <row r="41" spans="1:10" x14ac:dyDescent="0.45">
      <c r="A41">
        <v>40</v>
      </c>
      <c r="B41" t="s">
        <v>1044</v>
      </c>
      <c r="C41">
        <v>0</v>
      </c>
      <c r="D41">
        <v>1</v>
      </c>
      <c r="E41">
        <v>0</v>
      </c>
      <c r="F41">
        <v>0</v>
      </c>
      <c r="G41">
        <v>0.05</v>
      </c>
      <c r="H41">
        <v>0</v>
      </c>
      <c r="I41">
        <v>1</v>
      </c>
      <c r="J41">
        <v>1</v>
      </c>
    </row>
    <row r="42" spans="1:10" x14ac:dyDescent="0.45">
      <c r="A42">
        <v>41</v>
      </c>
      <c r="B42" t="s">
        <v>2452</v>
      </c>
      <c r="C42">
        <v>0</v>
      </c>
      <c r="D42">
        <v>1</v>
      </c>
      <c r="E42">
        <v>0</v>
      </c>
      <c r="F42">
        <v>0</v>
      </c>
      <c r="G42">
        <v>0.05</v>
      </c>
      <c r="H42">
        <v>0</v>
      </c>
      <c r="I42">
        <v>1</v>
      </c>
      <c r="J42">
        <v>1</v>
      </c>
    </row>
    <row r="43" spans="1:10" x14ac:dyDescent="0.45">
      <c r="A43">
        <v>42</v>
      </c>
      <c r="B43" t="s">
        <v>1009</v>
      </c>
      <c r="C43">
        <v>0</v>
      </c>
      <c r="D43">
        <v>1</v>
      </c>
      <c r="E43">
        <v>0</v>
      </c>
      <c r="F43">
        <v>0</v>
      </c>
      <c r="G43">
        <v>0.05</v>
      </c>
      <c r="H43">
        <v>0</v>
      </c>
      <c r="I43">
        <v>1</v>
      </c>
      <c r="J43">
        <v>1</v>
      </c>
    </row>
    <row r="44" spans="1:10" x14ac:dyDescent="0.45">
      <c r="A44">
        <v>43</v>
      </c>
      <c r="B44" t="s">
        <v>2453</v>
      </c>
      <c r="C44">
        <v>0</v>
      </c>
      <c r="D44">
        <v>1</v>
      </c>
      <c r="E44">
        <v>0</v>
      </c>
      <c r="F44">
        <v>0</v>
      </c>
      <c r="G44">
        <v>0.05</v>
      </c>
      <c r="H44">
        <v>0</v>
      </c>
      <c r="I44">
        <v>1</v>
      </c>
      <c r="J44">
        <v>1</v>
      </c>
    </row>
    <row r="45" spans="1:10" x14ac:dyDescent="0.45">
      <c r="A45">
        <v>44</v>
      </c>
      <c r="B45" t="s">
        <v>2454</v>
      </c>
      <c r="C45">
        <v>0</v>
      </c>
      <c r="D45">
        <v>1</v>
      </c>
      <c r="E45">
        <v>0</v>
      </c>
      <c r="F45">
        <v>0</v>
      </c>
      <c r="G45">
        <v>0.05</v>
      </c>
      <c r="H45">
        <v>0</v>
      </c>
      <c r="I45">
        <v>1</v>
      </c>
      <c r="J45">
        <v>1</v>
      </c>
    </row>
    <row r="46" spans="1:10" x14ac:dyDescent="0.45">
      <c r="A46">
        <v>45</v>
      </c>
      <c r="B46" t="s">
        <v>2455</v>
      </c>
      <c r="C46">
        <v>0</v>
      </c>
      <c r="D46">
        <v>1</v>
      </c>
      <c r="E46">
        <v>0</v>
      </c>
      <c r="F46">
        <v>0</v>
      </c>
      <c r="G46">
        <v>0.05</v>
      </c>
      <c r="H46">
        <v>0</v>
      </c>
      <c r="I46">
        <v>1</v>
      </c>
      <c r="J46">
        <v>1</v>
      </c>
    </row>
    <row r="47" spans="1:10" x14ac:dyDescent="0.45">
      <c r="A47">
        <v>46</v>
      </c>
      <c r="B47" t="s">
        <v>2456</v>
      </c>
      <c r="C47">
        <v>0</v>
      </c>
      <c r="D47">
        <v>1</v>
      </c>
      <c r="E47">
        <v>0</v>
      </c>
      <c r="F47">
        <v>0</v>
      </c>
      <c r="G47">
        <v>0.2</v>
      </c>
      <c r="H47">
        <v>0</v>
      </c>
      <c r="I47">
        <v>1</v>
      </c>
      <c r="J47">
        <v>1</v>
      </c>
    </row>
    <row r="48" spans="1:10" x14ac:dyDescent="0.45">
      <c r="A48">
        <v>47</v>
      </c>
      <c r="B48" t="s">
        <v>2457</v>
      </c>
      <c r="C48">
        <v>0</v>
      </c>
      <c r="D48">
        <v>1</v>
      </c>
      <c r="E48">
        <v>0</v>
      </c>
      <c r="F48">
        <v>0</v>
      </c>
      <c r="G48">
        <v>0.05</v>
      </c>
      <c r="H48">
        <v>1</v>
      </c>
      <c r="I48">
        <v>1</v>
      </c>
      <c r="J48">
        <v>1</v>
      </c>
    </row>
    <row r="49" spans="1:10" x14ac:dyDescent="0.45">
      <c r="A49">
        <v>48</v>
      </c>
      <c r="B49" t="s">
        <v>1017</v>
      </c>
      <c r="C49">
        <v>0</v>
      </c>
      <c r="D49">
        <v>1</v>
      </c>
      <c r="E49">
        <v>0</v>
      </c>
      <c r="F49">
        <v>0</v>
      </c>
      <c r="G49">
        <v>0.05</v>
      </c>
      <c r="H49">
        <v>0</v>
      </c>
      <c r="I49">
        <v>1</v>
      </c>
      <c r="J49">
        <v>1</v>
      </c>
    </row>
    <row r="50" spans="1:10" x14ac:dyDescent="0.45">
      <c r="A50">
        <v>49</v>
      </c>
      <c r="B50" t="s">
        <v>2458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</row>
    <row r="51" spans="1:10" x14ac:dyDescent="0.45">
      <c r="A51">
        <v>50</v>
      </c>
      <c r="B51" t="s">
        <v>2459</v>
      </c>
      <c r="C51">
        <v>0</v>
      </c>
      <c r="D51">
        <v>1</v>
      </c>
      <c r="E51">
        <v>0</v>
      </c>
      <c r="F51">
        <v>0</v>
      </c>
      <c r="G51">
        <v>0.05</v>
      </c>
      <c r="H51">
        <v>0</v>
      </c>
      <c r="I51">
        <v>1</v>
      </c>
      <c r="J51">
        <v>1</v>
      </c>
    </row>
    <row r="52" spans="1:10" x14ac:dyDescent="0.45">
      <c r="A52">
        <v>51</v>
      </c>
      <c r="B52" t="s">
        <v>2460</v>
      </c>
      <c r="C52">
        <v>0</v>
      </c>
      <c r="D52">
        <v>1</v>
      </c>
      <c r="E52">
        <v>0</v>
      </c>
      <c r="F52">
        <v>0</v>
      </c>
      <c r="G52">
        <v>0.05</v>
      </c>
      <c r="H52">
        <v>0</v>
      </c>
      <c r="I52">
        <v>1</v>
      </c>
      <c r="J52">
        <v>1</v>
      </c>
    </row>
    <row r="53" spans="1:10" x14ac:dyDescent="0.45">
      <c r="A53">
        <v>52</v>
      </c>
      <c r="B53" t="s">
        <v>2461</v>
      </c>
      <c r="C53">
        <v>0</v>
      </c>
      <c r="D53">
        <v>1</v>
      </c>
      <c r="E53">
        <v>0</v>
      </c>
      <c r="F53">
        <v>0</v>
      </c>
      <c r="G53">
        <v>0.05</v>
      </c>
      <c r="H53">
        <v>0</v>
      </c>
      <c r="I53">
        <v>1</v>
      </c>
      <c r="J53">
        <v>1</v>
      </c>
    </row>
    <row r="54" spans="1:10" x14ac:dyDescent="0.45">
      <c r="A54">
        <v>53</v>
      </c>
      <c r="B54" t="s">
        <v>2462</v>
      </c>
      <c r="C54">
        <v>0.16</v>
      </c>
      <c r="D54">
        <v>0</v>
      </c>
      <c r="E54">
        <v>0</v>
      </c>
      <c r="F54">
        <v>0</v>
      </c>
      <c r="G54">
        <v>0.05</v>
      </c>
      <c r="H54">
        <v>0</v>
      </c>
      <c r="I54">
        <v>1</v>
      </c>
      <c r="J54">
        <v>1</v>
      </c>
    </row>
    <row r="55" spans="1:10" x14ac:dyDescent="0.45">
      <c r="A55">
        <v>54</v>
      </c>
      <c r="B55" t="s">
        <v>2463</v>
      </c>
      <c r="C55">
        <v>0</v>
      </c>
      <c r="D55">
        <v>1</v>
      </c>
      <c r="E55">
        <v>0</v>
      </c>
      <c r="F55">
        <v>0</v>
      </c>
      <c r="G55">
        <v>0.13</v>
      </c>
      <c r="H55">
        <v>0</v>
      </c>
      <c r="I55">
        <v>1</v>
      </c>
      <c r="J55">
        <v>1</v>
      </c>
    </row>
    <row r="56" spans="1:10" x14ac:dyDescent="0.45">
      <c r="A56">
        <v>55</v>
      </c>
      <c r="B56" t="s">
        <v>2464</v>
      </c>
      <c r="C56">
        <v>0.16</v>
      </c>
      <c r="D56">
        <v>0</v>
      </c>
      <c r="E56">
        <v>0</v>
      </c>
      <c r="F56">
        <v>0</v>
      </c>
      <c r="G56">
        <v>0.05</v>
      </c>
      <c r="H56">
        <v>0</v>
      </c>
      <c r="I56">
        <v>1</v>
      </c>
      <c r="J56">
        <v>1</v>
      </c>
    </row>
    <row r="57" spans="1:10" x14ac:dyDescent="0.45">
      <c r="A57">
        <v>56</v>
      </c>
      <c r="B57" t="s">
        <v>2465</v>
      </c>
      <c r="C57">
        <v>0.16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</row>
    <row r="58" spans="1:10" x14ac:dyDescent="0.45">
      <c r="A58">
        <v>57</v>
      </c>
      <c r="B58" t="s">
        <v>991</v>
      </c>
      <c r="C58">
        <v>0.16</v>
      </c>
      <c r="D58">
        <v>0</v>
      </c>
      <c r="E58">
        <v>0</v>
      </c>
      <c r="F58">
        <v>0</v>
      </c>
      <c r="G58">
        <v>0.05</v>
      </c>
      <c r="H58">
        <v>0</v>
      </c>
      <c r="I58">
        <v>1</v>
      </c>
      <c r="J58">
        <v>1</v>
      </c>
    </row>
    <row r="59" spans="1:10" x14ac:dyDescent="0.45">
      <c r="A59">
        <v>58</v>
      </c>
      <c r="B59" t="s">
        <v>1091</v>
      </c>
      <c r="C59">
        <v>0</v>
      </c>
      <c r="D59">
        <v>1</v>
      </c>
      <c r="E59">
        <v>0</v>
      </c>
      <c r="F59">
        <v>0</v>
      </c>
      <c r="G59">
        <v>0.05</v>
      </c>
      <c r="H59">
        <v>0</v>
      </c>
      <c r="I59">
        <v>1</v>
      </c>
      <c r="J59">
        <v>1</v>
      </c>
    </row>
    <row r="60" spans="1:10" x14ac:dyDescent="0.45">
      <c r="A60">
        <v>59</v>
      </c>
      <c r="B60" t="s">
        <v>2466</v>
      </c>
      <c r="C60">
        <v>0.16</v>
      </c>
      <c r="D60">
        <v>0</v>
      </c>
      <c r="E60">
        <v>0</v>
      </c>
      <c r="F60">
        <v>0</v>
      </c>
      <c r="G60">
        <v>0.05</v>
      </c>
      <c r="H60">
        <v>0</v>
      </c>
      <c r="I60">
        <v>1</v>
      </c>
      <c r="J60">
        <v>1</v>
      </c>
    </row>
    <row r="61" spans="1:10" x14ac:dyDescent="0.45">
      <c r="A61">
        <v>60</v>
      </c>
      <c r="B61" t="s">
        <v>990</v>
      </c>
      <c r="C61">
        <v>0.16</v>
      </c>
      <c r="D61">
        <v>0</v>
      </c>
      <c r="E61">
        <v>0</v>
      </c>
      <c r="F61">
        <v>0</v>
      </c>
      <c r="G61">
        <v>0.05</v>
      </c>
      <c r="H61">
        <v>0</v>
      </c>
      <c r="I61">
        <v>1</v>
      </c>
      <c r="J61">
        <v>1</v>
      </c>
    </row>
    <row r="62" spans="1:10" x14ac:dyDescent="0.45">
      <c r="A62">
        <v>61</v>
      </c>
      <c r="B62" t="s">
        <v>2467</v>
      </c>
      <c r="C62">
        <v>0.16</v>
      </c>
      <c r="D62">
        <v>0</v>
      </c>
      <c r="E62">
        <v>0</v>
      </c>
      <c r="F62">
        <v>0</v>
      </c>
      <c r="G62">
        <v>0.05</v>
      </c>
      <c r="H62">
        <v>0</v>
      </c>
      <c r="I62">
        <v>1</v>
      </c>
      <c r="J62">
        <v>1</v>
      </c>
    </row>
    <row r="63" spans="1:10" x14ac:dyDescent="0.45">
      <c r="A63">
        <v>62</v>
      </c>
      <c r="B63" t="s">
        <v>994</v>
      </c>
      <c r="C63">
        <v>0.16</v>
      </c>
      <c r="D63">
        <v>0</v>
      </c>
      <c r="E63">
        <v>0</v>
      </c>
      <c r="F63">
        <v>0</v>
      </c>
      <c r="G63">
        <v>0.05</v>
      </c>
      <c r="H63">
        <v>0</v>
      </c>
      <c r="I63">
        <v>1</v>
      </c>
      <c r="J63">
        <v>1</v>
      </c>
    </row>
    <row r="64" spans="1:10" x14ac:dyDescent="0.45">
      <c r="A64">
        <v>63</v>
      </c>
      <c r="B64" t="s">
        <v>2468</v>
      </c>
      <c r="C64">
        <v>0.16</v>
      </c>
      <c r="D64">
        <v>0</v>
      </c>
      <c r="E64">
        <v>0</v>
      </c>
      <c r="F64">
        <v>0</v>
      </c>
      <c r="G64">
        <v>0.05</v>
      </c>
      <c r="H64">
        <v>0</v>
      </c>
      <c r="I64">
        <v>1</v>
      </c>
      <c r="J64">
        <v>1</v>
      </c>
    </row>
    <row r="65" spans="1:10" x14ac:dyDescent="0.45">
      <c r="A65">
        <v>64</v>
      </c>
      <c r="B65" t="s">
        <v>2469</v>
      </c>
      <c r="C65">
        <v>0.16</v>
      </c>
      <c r="D65">
        <v>0</v>
      </c>
      <c r="E65">
        <v>0</v>
      </c>
      <c r="F65">
        <v>0</v>
      </c>
      <c r="G65">
        <v>0.05</v>
      </c>
      <c r="H65">
        <v>0</v>
      </c>
      <c r="I65">
        <v>1</v>
      </c>
      <c r="J65">
        <v>1</v>
      </c>
    </row>
    <row r="66" spans="1:10" x14ac:dyDescent="0.45">
      <c r="A66">
        <v>65</v>
      </c>
      <c r="B66" t="s">
        <v>2470</v>
      </c>
      <c r="C66">
        <v>0.16</v>
      </c>
      <c r="D66">
        <v>0</v>
      </c>
      <c r="E66">
        <v>0</v>
      </c>
      <c r="F66">
        <v>0</v>
      </c>
      <c r="G66">
        <v>0.05</v>
      </c>
      <c r="H66">
        <v>0</v>
      </c>
      <c r="I66">
        <v>1</v>
      </c>
      <c r="J66">
        <v>1</v>
      </c>
    </row>
    <row r="67" spans="1:10" x14ac:dyDescent="0.45">
      <c r="A67">
        <v>66</v>
      </c>
      <c r="B67" t="s">
        <v>2471</v>
      </c>
      <c r="C67">
        <v>0.16</v>
      </c>
      <c r="D67">
        <v>0</v>
      </c>
      <c r="E67">
        <v>0</v>
      </c>
      <c r="F67">
        <v>0</v>
      </c>
      <c r="G67">
        <v>0.05</v>
      </c>
      <c r="H67">
        <v>0</v>
      </c>
      <c r="I67">
        <v>1</v>
      </c>
      <c r="J67">
        <v>1</v>
      </c>
    </row>
    <row r="68" spans="1:10" x14ac:dyDescent="0.45">
      <c r="A68">
        <v>67</v>
      </c>
      <c r="B68" t="s">
        <v>2472</v>
      </c>
      <c r="C68">
        <v>0</v>
      </c>
      <c r="D68">
        <v>1</v>
      </c>
      <c r="E68">
        <v>0</v>
      </c>
      <c r="F68">
        <v>0</v>
      </c>
      <c r="G68">
        <v>0.05</v>
      </c>
      <c r="H68">
        <v>0</v>
      </c>
      <c r="I68">
        <v>1</v>
      </c>
      <c r="J68">
        <v>1</v>
      </c>
    </row>
    <row r="69" spans="1:10" x14ac:dyDescent="0.45">
      <c r="A69">
        <v>68</v>
      </c>
      <c r="B69" t="s">
        <v>2473</v>
      </c>
      <c r="C69">
        <v>0.16</v>
      </c>
      <c r="D69">
        <v>0</v>
      </c>
      <c r="E69">
        <v>0</v>
      </c>
      <c r="F69">
        <v>0</v>
      </c>
      <c r="G69">
        <v>0.05</v>
      </c>
      <c r="H69">
        <v>0</v>
      </c>
      <c r="I69">
        <v>1</v>
      </c>
      <c r="J69">
        <v>1</v>
      </c>
    </row>
    <row r="70" spans="1:10" x14ac:dyDescent="0.45">
      <c r="A70">
        <v>69</v>
      </c>
      <c r="B70" t="s">
        <v>2474</v>
      </c>
      <c r="C70">
        <v>0.16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</row>
    <row r="71" spans="1:10" x14ac:dyDescent="0.45">
      <c r="A71">
        <v>70</v>
      </c>
      <c r="B71" t="s">
        <v>2475</v>
      </c>
      <c r="C71">
        <v>0.16</v>
      </c>
      <c r="D71">
        <v>0</v>
      </c>
      <c r="E71">
        <v>0</v>
      </c>
      <c r="F71">
        <v>0</v>
      </c>
      <c r="G71">
        <v>0.05</v>
      </c>
      <c r="H71">
        <v>0</v>
      </c>
      <c r="I71">
        <v>1</v>
      </c>
      <c r="J71">
        <v>1</v>
      </c>
    </row>
    <row r="72" spans="1:10" x14ac:dyDescent="0.45">
      <c r="A72">
        <v>71</v>
      </c>
      <c r="B72" t="s">
        <v>2476</v>
      </c>
      <c r="C72">
        <v>0</v>
      </c>
      <c r="D72">
        <v>1</v>
      </c>
      <c r="E72">
        <v>0</v>
      </c>
      <c r="F72">
        <v>0</v>
      </c>
      <c r="G72">
        <v>0.05</v>
      </c>
      <c r="H72">
        <v>0</v>
      </c>
      <c r="I72">
        <v>1</v>
      </c>
      <c r="J72">
        <v>1</v>
      </c>
    </row>
    <row r="73" spans="1:10" x14ac:dyDescent="0.45">
      <c r="A73">
        <v>72</v>
      </c>
      <c r="B73" t="s">
        <v>2477</v>
      </c>
      <c r="C73">
        <v>0.16</v>
      </c>
      <c r="D73">
        <v>0</v>
      </c>
      <c r="E73">
        <v>0</v>
      </c>
      <c r="F73">
        <v>0</v>
      </c>
      <c r="G73">
        <v>0.05</v>
      </c>
      <c r="H73">
        <v>1</v>
      </c>
      <c r="I73">
        <v>1</v>
      </c>
      <c r="J73">
        <v>1</v>
      </c>
    </row>
    <row r="74" spans="1:10" x14ac:dyDescent="0.45">
      <c r="A74">
        <v>73</v>
      </c>
      <c r="B74" t="s">
        <v>2478</v>
      </c>
      <c r="C74">
        <v>0.16</v>
      </c>
      <c r="D74">
        <v>0</v>
      </c>
      <c r="E74">
        <v>0</v>
      </c>
      <c r="F74">
        <v>0</v>
      </c>
      <c r="G74">
        <v>0.05</v>
      </c>
      <c r="H74">
        <v>0</v>
      </c>
      <c r="I74">
        <v>1</v>
      </c>
      <c r="J74">
        <v>1</v>
      </c>
    </row>
    <row r="75" spans="1:10" x14ac:dyDescent="0.45">
      <c r="A75">
        <v>74</v>
      </c>
      <c r="B75" t="s">
        <v>2479</v>
      </c>
      <c r="C75">
        <v>0.16</v>
      </c>
      <c r="D75">
        <v>0</v>
      </c>
      <c r="E75">
        <v>0</v>
      </c>
      <c r="F75">
        <v>0</v>
      </c>
      <c r="G75">
        <v>0.05</v>
      </c>
      <c r="H75">
        <v>0</v>
      </c>
      <c r="I75">
        <v>1</v>
      </c>
      <c r="J75">
        <v>1</v>
      </c>
    </row>
    <row r="76" spans="1:10" x14ac:dyDescent="0.45">
      <c r="A76">
        <v>75</v>
      </c>
      <c r="B76" t="s">
        <v>2480</v>
      </c>
      <c r="C76">
        <v>0.16</v>
      </c>
      <c r="D76">
        <v>0</v>
      </c>
      <c r="E76">
        <v>0</v>
      </c>
      <c r="F76">
        <v>0</v>
      </c>
      <c r="G76">
        <v>0.05</v>
      </c>
      <c r="H76">
        <v>0</v>
      </c>
      <c r="I76">
        <v>1</v>
      </c>
      <c r="J76">
        <v>1</v>
      </c>
    </row>
    <row r="77" spans="1:10" x14ac:dyDescent="0.45">
      <c r="A77">
        <v>76</v>
      </c>
      <c r="B77" t="s">
        <v>2481</v>
      </c>
      <c r="C77">
        <v>0</v>
      </c>
      <c r="D77">
        <v>1</v>
      </c>
      <c r="E77">
        <v>0</v>
      </c>
      <c r="F77">
        <v>0</v>
      </c>
      <c r="G77">
        <v>0.05</v>
      </c>
      <c r="H77">
        <v>0</v>
      </c>
      <c r="I77">
        <v>1</v>
      </c>
      <c r="J77">
        <v>1</v>
      </c>
    </row>
    <row r="78" spans="1:10" x14ac:dyDescent="0.45">
      <c r="A78">
        <v>77</v>
      </c>
      <c r="B78" t="s">
        <v>1008</v>
      </c>
      <c r="C78">
        <v>0</v>
      </c>
      <c r="D78">
        <v>1</v>
      </c>
      <c r="E78">
        <v>0</v>
      </c>
      <c r="F78">
        <v>0</v>
      </c>
      <c r="G78">
        <v>0.05</v>
      </c>
      <c r="H78">
        <v>0</v>
      </c>
      <c r="I78">
        <v>1</v>
      </c>
      <c r="J78">
        <v>1</v>
      </c>
    </row>
    <row r="79" spans="1:10" x14ac:dyDescent="0.45">
      <c r="A79">
        <v>78</v>
      </c>
      <c r="B79" t="s">
        <v>2482</v>
      </c>
      <c r="C79">
        <v>0</v>
      </c>
      <c r="D79">
        <v>1</v>
      </c>
      <c r="E79">
        <v>0</v>
      </c>
      <c r="F79">
        <v>0</v>
      </c>
      <c r="G79">
        <v>0.05</v>
      </c>
      <c r="H79">
        <v>0</v>
      </c>
      <c r="I79">
        <v>1</v>
      </c>
      <c r="J79">
        <v>1</v>
      </c>
    </row>
    <row r="80" spans="1:10" x14ac:dyDescent="0.45">
      <c r="A80">
        <v>79</v>
      </c>
      <c r="B80" t="s">
        <v>2483</v>
      </c>
      <c r="C80">
        <v>0</v>
      </c>
      <c r="D80">
        <v>1</v>
      </c>
      <c r="E80">
        <v>0</v>
      </c>
      <c r="F80">
        <v>0</v>
      </c>
      <c r="G80">
        <v>0.05</v>
      </c>
      <c r="H80">
        <v>0</v>
      </c>
      <c r="I80">
        <v>1</v>
      </c>
      <c r="J80">
        <v>1</v>
      </c>
    </row>
    <row r="81" spans="1:10" x14ac:dyDescent="0.45">
      <c r="A81">
        <v>80</v>
      </c>
      <c r="B81" t="s">
        <v>1016</v>
      </c>
      <c r="C81">
        <v>0</v>
      </c>
      <c r="D81">
        <v>1</v>
      </c>
      <c r="E81">
        <v>0</v>
      </c>
      <c r="F81">
        <v>0</v>
      </c>
      <c r="G81">
        <v>0.05</v>
      </c>
      <c r="H81">
        <v>0</v>
      </c>
      <c r="I81">
        <v>1</v>
      </c>
      <c r="J81">
        <v>1</v>
      </c>
    </row>
    <row r="82" spans="1:10" x14ac:dyDescent="0.45">
      <c r="A82">
        <v>81</v>
      </c>
      <c r="B82" t="s">
        <v>1018</v>
      </c>
      <c r="C82">
        <v>0</v>
      </c>
      <c r="D82">
        <v>1</v>
      </c>
      <c r="E82">
        <v>0</v>
      </c>
      <c r="F82">
        <v>0</v>
      </c>
      <c r="G82">
        <v>0.05</v>
      </c>
      <c r="H82">
        <v>0</v>
      </c>
      <c r="I82">
        <v>1</v>
      </c>
      <c r="J82">
        <v>1</v>
      </c>
    </row>
    <row r="83" spans="1:10" x14ac:dyDescent="0.45">
      <c r="A83">
        <v>82</v>
      </c>
      <c r="B83" t="s">
        <v>1013</v>
      </c>
      <c r="C83">
        <v>0</v>
      </c>
      <c r="D83">
        <v>1</v>
      </c>
      <c r="E83">
        <v>0</v>
      </c>
      <c r="F83">
        <v>0</v>
      </c>
      <c r="G83">
        <v>0.05</v>
      </c>
      <c r="H83">
        <v>0</v>
      </c>
      <c r="I83">
        <v>1</v>
      </c>
      <c r="J83">
        <v>1</v>
      </c>
    </row>
    <row r="84" spans="1:10" x14ac:dyDescent="0.45">
      <c r="A84">
        <v>83</v>
      </c>
      <c r="B84" t="s">
        <v>2484</v>
      </c>
      <c r="C84">
        <v>0</v>
      </c>
      <c r="D84">
        <v>1</v>
      </c>
      <c r="E84">
        <v>0</v>
      </c>
      <c r="F84">
        <v>0</v>
      </c>
      <c r="G84">
        <v>0.05</v>
      </c>
      <c r="H84">
        <v>0</v>
      </c>
      <c r="I84">
        <v>1</v>
      </c>
      <c r="J84">
        <v>1</v>
      </c>
    </row>
    <row r="85" spans="1:10" x14ac:dyDescent="0.45">
      <c r="A85">
        <v>84</v>
      </c>
      <c r="B85" t="s">
        <v>2485</v>
      </c>
      <c r="C85">
        <v>0</v>
      </c>
      <c r="D85">
        <v>1</v>
      </c>
      <c r="E85">
        <v>0</v>
      </c>
      <c r="F85">
        <v>0</v>
      </c>
      <c r="G85">
        <v>0.05</v>
      </c>
      <c r="H85">
        <v>0</v>
      </c>
      <c r="I85">
        <v>1</v>
      </c>
      <c r="J85">
        <v>1</v>
      </c>
    </row>
    <row r="86" spans="1:10" x14ac:dyDescent="0.45">
      <c r="A86">
        <v>85</v>
      </c>
      <c r="B86" t="s">
        <v>2486</v>
      </c>
      <c r="C86">
        <v>0</v>
      </c>
      <c r="D86">
        <v>1</v>
      </c>
      <c r="E86">
        <v>0</v>
      </c>
      <c r="F86">
        <v>0</v>
      </c>
      <c r="G86">
        <v>0.05</v>
      </c>
      <c r="H86">
        <v>0</v>
      </c>
      <c r="I86">
        <v>1</v>
      </c>
      <c r="J86">
        <v>1</v>
      </c>
    </row>
    <row r="87" spans="1:10" x14ac:dyDescent="0.45">
      <c r="A87">
        <v>86</v>
      </c>
      <c r="B87" t="s">
        <v>2487</v>
      </c>
      <c r="C87">
        <v>0</v>
      </c>
      <c r="D87">
        <v>1</v>
      </c>
      <c r="E87">
        <v>0</v>
      </c>
      <c r="F87">
        <v>0</v>
      </c>
      <c r="G87">
        <v>0.05</v>
      </c>
      <c r="H87">
        <v>0</v>
      </c>
      <c r="I87">
        <v>1</v>
      </c>
      <c r="J87">
        <v>1</v>
      </c>
    </row>
    <row r="88" spans="1:10" x14ac:dyDescent="0.45">
      <c r="A88">
        <v>87</v>
      </c>
      <c r="B88" t="s">
        <v>2488</v>
      </c>
      <c r="C88">
        <v>0</v>
      </c>
      <c r="D88">
        <v>1</v>
      </c>
      <c r="E88">
        <v>0</v>
      </c>
      <c r="F88">
        <v>0</v>
      </c>
      <c r="G88">
        <v>0.05</v>
      </c>
      <c r="H88">
        <v>0</v>
      </c>
      <c r="I88">
        <v>1</v>
      </c>
      <c r="J88">
        <v>1</v>
      </c>
    </row>
    <row r="89" spans="1:10" x14ac:dyDescent="0.45">
      <c r="A89">
        <v>88</v>
      </c>
      <c r="B89" t="s">
        <v>2489</v>
      </c>
      <c r="C89">
        <v>0</v>
      </c>
      <c r="D89">
        <v>1</v>
      </c>
      <c r="E89">
        <v>0</v>
      </c>
      <c r="F89">
        <v>0</v>
      </c>
      <c r="G89">
        <v>0.05</v>
      </c>
      <c r="H89">
        <v>0</v>
      </c>
      <c r="I89">
        <v>1</v>
      </c>
      <c r="J89">
        <v>1</v>
      </c>
    </row>
    <row r="90" spans="1:10" x14ac:dyDescent="0.45">
      <c r="A90">
        <v>89</v>
      </c>
      <c r="B90" t="s">
        <v>2490</v>
      </c>
      <c r="C90">
        <v>0</v>
      </c>
      <c r="D90">
        <v>1</v>
      </c>
      <c r="E90">
        <v>0</v>
      </c>
      <c r="F90">
        <v>0</v>
      </c>
      <c r="G90">
        <v>0.05</v>
      </c>
      <c r="H90">
        <v>0</v>
      </c>
      <c r="I90">
        <v>1</v>
      </c>
      <c r="J90">
        <v>1</v>
      </c>
    </row>
    <row r="91" spans="1:10" x14ac:dyDescent="0.45">
      <c r="A91">
        <v>90</v>
      </c>
      <c r="B91" t="s">
        <v>2491</v>
      </c>
      <c r="C91">
        <v>0</v>
      </c>
      <c r="D91">
        <v>1</v>
      </c>
      <c r="E91">
        <v>0</v>
      </c>
      <c r="F91">
        <v>0</v>
      </c>
      <c r="G91">
        <v>0.05</v>
      </c>
      <c r="H91">
        <v>0</v>
      </c>
      <c r="I91">
        <v>1</v>
      </c>
      <c r="J91">
        <v>1</v>
      </c>
    </row>
    <row r="92" spans="1:10" x14ac:dyDescent="0.45">
      <c r="A92">
        <v>91</v>
      </c>
      <c r="B92" t="s">
        <v>2492</v>
      </c>
      <c r="C92">
        <v>0</v>
      </c>
      <c r="D92">
        <v>1</v>
      </c>
      <c r="E92">
        <v>0</v>
      </c>
      <c r="F92">
        <v>0</v>
      </c>
      <c r="G92">
        <v>0.05</v>
      </c>
      <c r="H92">
        <v>0</v>
      </c>
      <c r="I92">
        <v>1</v>
      </c>
      <c r="J92">
        <v>1</v>
      </c>
    </row>
    <row r="93" spans="1:10" x14ac:dyDescent="0.45">
      <c r="A93">
        <v>92</v>
      </c>
      <c r="B93" t="s">
        <v>2493</v>
      </c>
      <c r="C93">
        <v>0</v>
      </c>
      <c r="D93">
        <v>1</v>
      </c>
      <c r="E93">
        <v>0</v>
      </c>
      <c r="F93">
        <v>0</v>
      </c>
      <c r="G93">
        <v>0.05</v>
      </c>
      <c r="H93">
        <v>0</v>
      </c>
      <c r="I93">
        <v>1</v>
      </c>
      <c r="J93">
        <v>1</v>
      </c>
    </row>
    <row r="94" spans="1:10" x14ac:dyDescent="0.45">
      <c r="A94">
        <v>93</v>
      </c>
      <c r="B94" t="s">
        <v>2494</v>
      </c>
      <c r="C94">
        <v>0</v>
      </c>
      <c r="D94">
        <v>1</v>
      </c>
      <c r="E94">
        <v>0</v>
      </c>
      <c r="F94">
        <v>0</v>
      </c>
      <c r="G94">
        <v>0.05</v>
      </c>
      <c r="H94">
        <v>0</v>
      </c>
      <c r="I94">
        <v>1</v>
      </c>
      <c r="J94">
        <v>1</v>
      </c>
    </row>
    <row r="95" spans="1:10" x14ac:dyDescent="0.45">
      <c r="A95">
        <v>94</v>
      </c>
      <c r="B95" t="s">
        <v>2495</v>
      </c>
      <c r="C95">
        <v>0</v>
      </c>
      <c r="D95">
        <v>1</v>
      </c>
      <c r="E95">
        <v>0</v>
      </c>
      <c r="F95">
        <v>0</v>
      </c>
      <c r="G95">
        <v>0.13</v>
      </c>
      <c r="H95">
        <v>1</v>
      </c>
      <c r="I95">
        <v>1</v>
      </c>
      <c r="J95">
        <v>1</v>
      </c>
    </row>
    <row r="96" spans="1:10" x14ac:dyDescent="0.45">
      <c r="A96">
        <v>95</v>
      </c>
      <c r="B96" t="s">
        <v>2496</v>
      </c>
      <c r="C96">
        <v>0</v>
      </c>
      <c r="D96">
        <v>1</v>
      </c>
      <c r="E96">
        <v>0</v>
      </c>
      <c r="F96">
        <v>0</v>
      </c>
      <c r="G96">
        <v>0.2</v>
      </c>
      <c r="H96">
        <v>1</v>
      </c>
      <c r="I96">
        <v>1</v>
      </c>
      <c r="J96">
        <v>1</v>
      </c>
    </row>
    <row r="97" spans="1:10" x14ac:dyDescent="0.45">
      <c r="A97">
        <v>96</v>
      </c>
      <c r="B97" t="s">
        <v>2497</v>
      </c>
      <c r="C97">
        <v>0</v>
      </c>
      <c r="D97">
        <v>1</v>
      </c>
      <c r="E97">
        <v>0</v>
      </c>
      <c r="F97">
        <v>0</v>
      </c>
      <c r="G97">
        <v>0.13</v>
      </c>
      <c r="H97">
        <v>1</v>
      </c>
      <c r="I97">
        <v>1</v>
      </c>
      <c r="J97">
        <v>1</v>
      </c>
    </row>
    <row r="98" spans="1:10" x14ac:dyDescent="0.45">
      <c r="A98">
        <v>97</v>
      </c>
      <c r="B98" t="s">
        <v>2498</v>
      </c>
      <c r="C98">
        <v>0.16</v>
      </c>
      <c r="D98">
        <v>0</v>
      </c>
      <c r="E98">
        <v>0</v>
      </c>
      <c r="F98">
        <v>0</v>
      </c>
      <c r="G98">
        <v>0.13</v>
      </c>
      <c r="H98">
        <v>0</v>
      </c>
      <c r="I98">
        <v>1</v>
      </c>
      <c r="J98">
        <v>1</v>
      </c>
    </row>
    <row r="99" spans="1:10" x14ac:dyDescent="0.45">
      <c r="A99">
        <v>98</v>
      </c>
      <c r="B99" t="s">
        <v>2499</v>
      </c>
      <c r="C99">
        <v>0.16</v>
      </c>
      <c r="D99">
        <v>0</v>
      </c>
      <c r="E99">
        <v>0</v>
      </c>
      <c r="F99">
        <v>0</v>
      </c>
      <c r="G99">
        <v>0.2</v>
      </c>
      <c r="H99">
        <v>0</v>
      </c>
      <c r="I99">
        <v>1</v>
      </c>
      <c r="J99">
        <v>1</v>
      </c>
    </row>
    <row r="100" spans="1:10" x14ac:dyDescent="0.45">
      <c r="A100">
        <v>99</v>
      </c>
      <c r="B100" t="s">
        <v>2500</v>
      </c>
      <c r="C100">
        <v>0</v>
      </c>
      <c r="D100">
        <v>1</v>
      </c>
      <c r="E100">
        <v>0</v>
      </c>
      <c r="F100">
        <v>0</v>
      </c>
      <c r="G100">
        <v>0.2</v>
      </c>
      <c r="H100">
        <v>0</v>
      </c>
      <c r="I100">
        <v>1</v>
      </c>
      <c r="J100">
        <v>1</v>
      </c>
    </row>
    <row r="101" spans="1:10" x14ac:dyDescent="0.45">
      <c r="A101">
        <v>100</v>
      </c>
      <c r="B101" t="s">
        <v>2501</v>
      </c>
      <c r="C101">
        <v>0</v>
      </c>
      <c r="D101">
        <v>1</v>
      </c>
      <c r="E101">
        <v>0</v>
      </c>
      <c r="F101">
        <v>0</v>
      </c>
      <c r="G101">
        <v>0.2</v>
      </c>
      <c r="H101">
        <v>0</v>
      </c>
      <c r="I101">
        <v>1</v>
      </c>
      <c r="J101">
        <v>1</v>
      </c>
    </row>
    <row r="102" spans="1:10" x14ac:dyDescent="0.45">
      <c r="A102">
        <v>101</v>
      </c>
      <c r="B102" t="s">
        <v>2502</v>
      </c>
      <c r="C102">
        <v>0.16</v>
      </c>
      <c r="D102">
        <v>0</v>
      </c>
      <c r="E102">
        <v>0</v>
      </c>
      <c r="F102">
        <v>0</v>
      </c>
      <c r="G102">
        <v>0.2</v>
      </c>
      <c r="H102">
        <v>0</v>
      </c>
      <c r="I102">
        <v>1</v>
      </c>
      <c r="J102">
        <v>1</v>
      </c>
    </row>
    <row r="103" spans="1:10" x14ac:dyDescent="0.45">
      <c r="A103">
        <v>102</v>
      </c>
      <c r="B103" t="s">
        <v>2503</v>
      </c>
      <c r="C103">
        <v>0.16</v>
      </c>
      <c r="D103">
        <v>0</v>
      </c>
      <c r="E103">
        <v>0</v>
      </c>
      <c r="F103">
        <v>0</v>
      </c>
      <c r="G103">
        <v>0.2</v>
      </c>
      <c r="H103">
        <v>0</v>
      </c>
      <c r="I103">
        <v>1</v>
      </c>
      <c r="J103">
        <v>1</v>
      </c>
    </row>
    <row r="104" spans="1:10" x14ac:dyDescent="0.45">
      <c r="A104">
        <v>103</v>
      </c>
      <c r="B104" t="s">
        <v>2504</v>
      </c>
      <c r="C104">
        <v>0.16</v>
      </c>
      <c r="D104">
        <v>0</v>
      </c>
      <c r="E104">
        <v>0</v>
      </c>
      <c r="F104">
        <v>0</v>
      </c>
      <c r="G104">
        <v>0.2</v>
      </c>
      <c r="H104">
        <v>0</v>
      </c>
      <c r="I104">
        <v>1</v>
      </c>
      <c r="J104">
        <v>1</v>
      </c>
    </row>
    <row r="105" spans="1:10" x14ac:dyDescent="0.45">
      <c r="A105">
        <v>104</v>
      </c>
      <c r="B105" t="s">
        <v>2505</v>
      </c>
      <c r="C105">
        <v>0</v>
      </c>
      <c r="D105">
        <v>1</v>
      </c>
      <c r="E105">
        <v>0</v>
      </c>
      <c r="F105">
        <v>0</v>
      </c>
      <c r="G105">
        <v>0.2</v>
      </c>
      <c r="H105">
        <v>0</v>
      </c>
      <c r="I105">
        <v>1</v>
      </c>
      <c r="J105">
        <v>1</v>
      </c>
    </row>
    <row r="106" spans="1:10" x14ac:dyDescent="0.45">
      <c r="A106">
        <v>105</v>
      </c>
      <c r="B106" t="s">
        <v>2506</v>
      </c>
      <c r="C106">
        <v>0</v>
      </c>
      <c r="D106">
        <v>1</v>
      </c>
      <c r="E106">
        <v>0</v>
      </c>
      <c r="F106">
        <v>0</v>
      </c>
      <c r="G106">
        <v>0.2</v>
      </c>
      <c r="H106">
        <v>0</v>
      </c>
      <c r="I106">
        <v>1</v>
      </c>
      <c r="J106">
        <v>1</v>
      </c>
    </row>
    <row r="107" spans="1:10" x14ac:dyDescent="0.45">
      <c r="A107">
        <v>106</v>
      </c>
      <c r="B107" t="s">
        <v>2507</v>
      </c>
      <c r="C107">
        <v>0.16</v>
      </c>
      <c r="D107">
        <v>0</v>
      </c>
      <c r="E107">
        <v>0</v>
      </c>
      <c r="F107">
        <v>0</v>
      </c>
      <c r="G107">
        <v>0.2</v>
      </c>
      <c r="H107">
        <v>1</v>
      </c>
      <c r="I107">
        <v>1</v>
      </c>
      <c r="J107">
        <v>1</v>
      </c>
    </row>
    <row r="108" spans="1:10" x14ac:dyDescent="0.45">
      <c r="A108">
        <v>107</v>
      </c>
      <c r="B108" t="s">
        <v>2508</v>
      </c>
      <c r="C108">
        <v>0.16</v>
      </c>
      <c r="D108">
        <v>0</v>
      </c>
      <c r="E108">
        <v>0</v>
      </c>
      <c r="F108">
        <v>0</v>
      </c>
      <c r="G108">
        <v>0.2</v>
      </c>
      <c r="H108">
        <v>0</v>
      </c>
      <c r="I108">
        <v>1</v>
      </c>
      <c r="J108">
        <v>1</v>
      </c>
    </row>
    <row r="109" spans="1:10" x14ac:dyDescent="0.45">
      <c r="A109">
        <v>108</v>
      </c>
      <c r="B109" t="s">
        <v>2509</v>
      </c>
      <c r="C109">
        <v>0.16</v>
      </c>
      <c r="D109">
        <v>0</v>
      </c>
      <c r="E109">
        <v>0</v>
      </c>
      <c r="F109">
        <v>0</v>
      </c>
      <c r="G109">
        <v>0.2</v>
      </c>
      <c r="H109">
        <v>0</v>
      </c>
      <c r="I109">
        <v>1</v>
      </c>
      <c r="J109">
        <v>1</v>
      </c>
    </row>
    <row r="110" spans="1:10" x14ac:dyDescent="0.45">
      <c r="A110">
        <v>109</v>
      </c>
      <c r="B110" t="s">
        <v>2510</v>
      </c>
      <c r="C110">
        <v>0</v>
      </c>
      <c r="D110">
        <v>1</v>
      </c>
      <c r="E110">
        <v>0</v>
      </c>
      <c r="F110">
        <v>0</v>
      </c>
      <c r="G110">
        <v>0.2</v>
      </c>
      <c r="H110">
        <v>0</v>
      </c>
      <c r="I110">
        <v>1</v>
      </c>
      <c r="J110">
        <v>1</v>
      </c>
    </row>
    <row r="111" spans="1:10" x14ac:dyDescent="0.45">
      <c r="A111">
        <v>110</v>
      </c>
      <c r="B111" t="s">
        <v>2511</v>
      </c>
      <c r="C111">
        <v>0</v>
      </c>
      <c r="D111">
        <v>1</v>
      </c>
      <c r="E111">
        <v>0</v>
      </c>
      <c r="F111">
        <v>0</v>
      </c>
      <c r="G111">
        <v>0.2</v>
      </c>
      <c r="H111">
        <v>0</v>
      </c>
      <c r="I111">
        <v>1</v>
      </c>
      <c r="J111">
        <v>1</v>
      </c>
    </row>
    <row r="112" spans="1:10" x14ac:dyDescent="0.45">
      <c r="A112">
        <v>111</v>
      </c>
      <c r="B112" t="s">
        <v>2512</v>
      </c>
      <c r="C112">
        <v>0</v>
      </c>
      <c r="D112">
        <v>1</v>
      </c>
      <c r="E112">
        <v>0</v>
      </c>
      <c r="F112">
        <v>0</v>
      </c>
      <c r="G112">
        <v>0.2</v>
      </c>
      <c r="H112">
        <v>0</v>
      </c>
      <c r="I112">
        <v>1</v>
      </c>
      <c r="J112">
        <v>1</v>
      </c>
    </row>
    <row r="113" spans="1:10" x14ac:dyDescent="0.45">
      <c r="A113">
        <v>112</v>
      </c>
      <c r="B113" t="s">
        <v>2513</v>
      </c>
      <c r="C113">
        <v>0</v>
      </c>
      <c r="D113">
        <v>1</v>
      </c>
      <c r="E113">
        <v>0</v>
      </c>
      <c r="F113">
        <v>0</v>
      </c>
      <c r="G113">
        <v>0.2</v>
      </c>
      <c r="H113">
        <v>0</v>
      </c>
      <c r="I113">
        <v>1</v>
      </c>
      <c r="J113">
        <v>1</v>
      </c>
    </row>
    <row r="114" spans="1:10" x14ac:dyDescent="0.45">
      <c r="A114">
        <v>113</v>
      </c>
      <c r="B114" t="s">
        <v>2514</v>
      </c>
      <c r="C114">
        <v>0</v>
      </c>
      <c r="D114">
        <v>1</v>
      </c>
      <c r="E114">
        <v>0</v>
      </c>
      <c r="F114">
        <v>0</v>
      </c>
      <c r="G114">
        <v>0.2</v>
      </c>
      <c r="H114">
        <v>0</v>
      </c>
      <c r="I114">
        <v>1</v>
      </c>
      <c r="J114">
        <v>1</v>
      </c>
    </row>
    <row r="115" spans="1:10" x14ac:dyDescent="0.45">
      <c r="A115">
        <v>114</v>
      </c>
      <c r="B115" t="s">
        <v>2515</v>
      </c>
      <c r="C115">
        <v>0</v>
      </c>
      <c r="D115">
        <v>1</v>
      </c>
      <c r="E115">
        <v>0</v>
      </c>
      <c r="F115">
        <v>0</v>
      </c>
      <c r="G115">
        <v>0.2</v>
      </c>
      <c r="H115">
        <v>0</v>
      </c>
      <c r="I115">
        <v>1</v>
      </c>
      <c r="J115">
        <v>1</v>
      </c>
    </row>
    <row r="116" spans="1:10" x14ac:dyDescent="0.45">
      <c r="A116">
        <v>115</v>
      </c>
      <c r="B116" t="s">
        <v>2516</v>
      </c>
      <c r="C116">
        <v>0</v>
      </c>
      <c r="D116">
        <v>1</v>
      </c>
      <c r="E116">
        <v>0</v>
      </c>
      <c r="F116">
        <v>0</v>
      </c>
      <c r="G116">
        <v>0.13</v>
      </c>
      <c r="H116">
        <v>0</v>
      </c>
      <c r="I116">
        <v>1</v>
      </c>
      <c r="J116">
        <v>1</v>
      </c>
    </row>
    <row r="117" spans="1:10" x14ac:dyDescent="0.45">
      <c r="A117">
        <v>116</v>
      </c>
      <c r="B117" t="s">
        <v>2517</v>
      </c>
      <c r="C117">
        <v>0</v>
      </c>
      <c r="D117">
        <v>1</v>
      </c>
      <c r="E117">
        <v>0</v>
      </c>
      <c r="F117">
        <v>0</v>
      </c>
      <c r="G117">
        <v>0.13</v>
      </c>
      <c r="H117">
        <v>0</v>
      </c>
      <c r="I117">
        <v>1</v>
      </c>
      <c r="J117">
        <v>1</v>
      </c>
    </row>
    <row r="118" spans="1:10" x14ac:dyDescent="0.45">
      <c r="A118">
        <v>117</v>
      </c>
      <c r="B118" t="s">
        <v>2518</v>
      </c>
      <c r="C118">
        <v>0</v>
      </c>
      <c r="D118">
        <v>1</v>
      </c>
      <c r="E118">
        <v>0</v>
      </c>
      <c r="F118">
        <v>0</v>
      </c>
      <c r="G118">
        <v>0.05</v>
      </c>
      <c r="H118">
        <v>0</v>
      </c>
      <c r="I118">
        <v>1</v>
      </c>
      <c r="J118">
        <v>1</v>
      </c>
    </row>
    <row r="119" spans="1:10" x14ac:dyDescent="0.45">
      <c r="A119">
        <v>119</v>
      </c>
      <c r="B119" t="s">
        <v>2519</v>
      </c>
      <c r="C119">
        <v>0</v>
      </c>
      <c r="D119">
        <v>1</v>
      </c>
      <c r="E119">
        <v>0</v>
      </c>
      <c r="F119">
        <v>0</v>
      </c>
      <c r="G119">
        <v>0.2</v>
      </c>
      <c r="H119">
        <v>0</v>
      </c>
      <c r="I119">
        <v>1</v>
      </c>
      <c r="J119">
        <v>1</v>
      </c>
    </row>
    <row r="120" spans="1:10" x14ac:dyDescent="0.45">
      <c r="A120">
        <v>120</v>
      </c>
      <c r="B120" t="s">
        <v>2520</v>
      </c>
      <c r="C120">
        <v>0</v>
      </c>
      <c r="D120">
        <v>1</v>
      </c>
      <c r="E120">
        <v>0</v>
      </c>
      <c r="F120">
        <v>0</v>
      </c>
      <c r="G120">
        <v>0.2</v>
      </c>
      <c r="H120">
        <v>1</v>
      </c>
      <c r="I120">
        <v>1</v>
      </c>
      <c r="J120">
        <v>1</v>
      </c>
    </row>
    <row r="121" spans="1:10" x14ac:dyDescent="0.45">
      <c r="A121">
        <v>121</v>
      </c>
      <c r="B121" t="s">
        <v>2521</v>
      </c>
      <c r="C121">
        <v>0</v>
      </c>
      <c r="D121">
        <v>1</v>
      </c>
      <c r="E121">
        <v>0</v>
      </c>
      <c r="F121">
        <v>0</v>
      </c>
      <c r="G121">
        <v>0.2</v>
      </c>
      <c r="H121">
        <v>0</v>
      </c>
      <c r="I121">
        <v>1</v>
      </c>
      <c r="J121">
        <v>1</v>
      </c>
    </row>
    <row r="122" spans="1:10" x14ac:dyDescent="0.45">
      <c r="A122">
        <v>122</v>
      </c>
      <c r="B122" t="s">
        <v>2522</v>
      </c>
      <c r="C122">
        <v>0</v>
      </c>
      <c r="D122">
        <v>1</v>
      </c>
      <c r="E122">
        <v>0</v>
      </c>
      <c r="F122">
        <v>0</v>
      </c>
      <c r="G122">
        <v>0.2</v>
      </c>
      <c r="H122">
        <v>0</v>
      </c>
      <c r="I122">
        <v>1</v>
      </c>
      <c r="J122">
        <v>1</v>
      </c>
    </row>
    <row r="123" spans="1:10" x14ac:dyDescent="0.45">
      <c r="A123">
        <v>123</v>
      </c>
      <c r="B123" t="s">
        <v>2523</v>
      </c>
      <c r="C123">
        <v>0</v>
      </c>
      <c r="D123">
        <v>1</v>
      </c>
      <c r="E123">
        <v>0</v>
      </c>
      <c r="F123">
        <v>0</v>
      </c>
      <c r="G123">
        <v>0.2</v>
      </c>
      <c r="H123">
        <v>0</v>
      </c>
      <c r="I123">
        <v>1</v>
      </c>
      <c r="J123">
        <v>1</v>
      </c>
    </row>
    <row r="124" spans="1:10" x14ac:dyDescent="0.45">
      <c r="A124">
        <v>124</v>
      </c>
      <c r="B124" t="s">
        <v>2524</v>
      </c>
      <c r="C124">
        <v>0</v>
      </c>
      <c r="D124">
        <v>1</v>
      </c>
      <c r="E124">
        <v>0</v>
      </c>
      <c r="F124">
        <v>0</v>
      </c>
      <c r="G124">
        <v>0.2</v>
      </c>
      <c r="H124">
        <v>0</v>
      </c>
      <c r="I124">
        <v>1</v>
      </c>
      <c r="J124">
        <v>1</v>
      </c>
    </row>
    <row r="125" spans="1:10" x14ac:dyDescent="0.45">
      <c r="A125">
        <v>125</v>
      </c>
      <c r="B125" t="s">
        <v>2525</v>
      </c>
      <c r="C125">
        <v>0</v>
      </c>
      <c r="D125">
        <v>1</v>
      </c>
      <c r="E125">
        <v>0</v>
      </c>
      <c r="F125">
        <v>0</v>
      </c>
      <c r="G125">
        <v>0.2</v>
      </c>
      <c r="H125">
        <v>0</v>
      </c>
      <c r="I125">
        <v>1</v>
      </c>
      <c r="J125">
        <v>1</v>
      </c>
    </row>
    <row r="126" spans="1:10" x14ac:dyDescent="0.45">
      <c r="A126">
        <v>126</v>
      </c>
      <c r="B126" t="s">
        <v>2526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</row>
    <row r="127" spans="1:10" x14ac:dyDescent="0.45">
      <c r="A127">
        <v>127</v>
      </c>
      <c r="B127" t="s">
        <v>2527</v>
      </c>
      <c r="C127">
        <v>0</v>
      </c>
      <c r="D127">
        <v>1</v>
      </c>
      <c r="E127">
        <v>0</v>
      </c>
      <c r="F127">
        <v>0</v>
      </c>
      <c r="G127">
        <v>0.2</v>
      </c>
      <c r="H127">
        <v>0</v>
      </c>
      <c r="I127">
        <v>1</v>
      </c>
      <c r="J127">
        <v>1</v>
      </c>
    </row>
    <row r="128" spans="1:10" x14ac:dyDescent="0.45">
      <c r="A128">
        <v>128</v>
      </c>
      <c r="B128" t="s">
        <v>2528</v>
      </c>
      <c r="C128">
        <v>0</v>
      </c>
      <c r="D128">
        <v>1</v>
      </c>
      <c r="E128">
        <v>0</v>
      </c>
      <c r="F128">
        <v>0</v>
      </c>
      <c r="G128">
        <v>0.2</v>
      </c>
      <c r="H128">
        <v>0</v>
      </c>
      <c r="I128">
        <v>1</v>
      </c>
      <c r="J128">
        <v>1</v>
      </c>
    </row>
    <row r="129" spans="1:10" x14ac:dyDescent="0.45">
      <c r="A129">
        <v>129</v>
      </c>
      <c r="B129" t="s">
        <v>2529</v>
      </c>
      <c r="C129">
        <v>0</v>
      </c>
      <c r="D129">
        <v>1</v>
      </c>
      <c r="E129">
        <v>0</v>
      </c>
      <c r="F129">
        <v>0</v>
      </c>
      <c r="G129">
        <v>0.2</v>
      </c>
      <c r="H129">
        <v>0</v>
      </c>
      <c r="I129">
        <v>1</v>
      </c>
      <c r="J129">
        <v>1</v>
      </c>
    </row>
    <row r="130" spans="1:10" x14ac:dyDescent="0.45">
      <c r="A130">
        <v>130</v>
      </c>
      <c r="B130" t="s">
        <v>2530</v>
      </c>
      <c r="C130">
        <v>0</v>
      </c>
      <c r="D130">
        <v>1</v>
      </c>
      <c r="E130">
        <v>0</v>
      </c>
      <c r="F130">
        <v>0</v>
      </c>
      <c r="G130">
        <v>0.2</v>
      </c>
      <c r="H130">
        <v>0</v>
      </c>
      <c r="I130">
        <v>1</v>
      </c>
      <c r="J130">
        <v>1</v>
      </c>
    </row>
    <row r="131" spans="1:10" x14ac:dyDescent="0.45">
      <c r="A131">
        <v>131</v>
      </c>
      <c r="B131" t="s">
        <v>2531</v>
      </c>
      <c r="C131">
        <v>0</v>
      </c>
      <c r="D131">
        <v>1</v>
      </c>
      <c r="E131">
        <v>0</v>
      </c>
      <c r="F131">
        <v>0</v>
      </c>
      <c r="G131">
        <v>0.2</v>
      </c>
      <c r="H131">
        <v>0</v>
      </c>
      <c r="I131">
        <v>1</v>
      </c>
      <c r="J131">
        <v>1</v>
      </c>
    </row>
    <row r="132" spans="1:10" x14ac:dyDescent="0.45">
      <c r="A132">
        <v>132</v>
      </c>
      <c r="B132" t="s">
        <v>2532</v>
      </c>
      <c r="C132">
        <v>0</v>
      </c>
      <c r="D132">
        <v>1</v>
      </c>
      <c r="E132">
        <v>0</v>
      </c>
      <c r="F132">
        <v>0</v>
      </c>
      <c r="G132">
        <v>0.2</v>
      </c>
      <c r="H132">
        <v>0</v>
      </c>
      <c r="I132">
        <v>1</v>
      </c>
      <c r="J132">
        <v>1</v>
      </c>
    </row>
    <row r="133" spans="1:10" x14ac:dyDescent="0.45">
      <c r="A133">
        <v>133</v>
      </c>
      <c r="B133" t="s">
        <v>2533</v>
      </c>
      <c r="C133">
        <v>0.16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</row>
    <row r="134" spans="1:10" x14ac:dyDescent="0.45">
      <c r="A134">
        <v>134</v>
      </c>
      <c r="B134" t="s">
        <v>2534</v>
      </c>
      <c r="C134">
        <v>0.16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</row>
    <row r="135" spans="1:10" x14ac:dyDescent="0.45">
      <c r="A135">
        <v>135</v>
      </c>
      <c r="B135" t="s">
        <v>2535</v>
      </c>
      <c r="C135">
        <v>0.16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</row>
    <row r="136" spans="1:10" x14ac:dyDescent="0.45">
      <c r="A136">
        <v>136</v>
      </c>
      <c r="B136" t="s">
        <v>2536</v>
      </c>
      <c r="C136">
        <v>0</v>
      </c>
      <c r="D136">
        <v>1</v>
      </c>
      <c r="E136">
        <v>0</v>
      </c>
      <c r="F136">
        <v>0</v>
      </c>
      <c r="G136">
        <v>0.2</v>
      </c>
      <c r="H136">
        <v>0</v>
      </c>
      <c r="I136">
        <v>1</v>
      </c>
      <c r="J136">
        <v>1</v>
      </c>
    </row>
    <row r="137" spans="1:10" x14ac:dyDescent="0.45">
      <c r="A137">
        <v>137</v>
      </c>
      <c r="B137" t="s">
        <v>2537</v>
      </c>
      <c r="C137">
        <v>0.16</v>
      </c>
      <c r="D137">
        <v>0</v>
      </c>
      <c r="E137">
        <v>0</v>
      </c>
      <c r="F137">
        <v>0</v>
      </c>
      <c r="G137">
        <v>0.2</v>
      </c>
      <c r="H137">
        <v>0</v>
      </c>
      <c r="I137">
        <v>1</v>
      </c>
      <c r="J137">
        <v>1</v>
      </c>
    </row>
    <row r="138" spans="1:10" x14ac:dyDescent="0.45">
      <c r="A138">
        <v>138</v>
      </c>
      <c r="B138" t="s">
        <v>2538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</row>
    <row r="139" spans="1:10" x14ac:dyDescent="0.45">
      <c r="A139">
        <v>139</v>
      </c>
      <c r="B139" t="s">
        <v>2539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 x14ac:dyDescent="0.45">
      <c r="A140">
        <v>140</v>
      </c>
      <c r="B140" t="s">
        <v>2540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</row>
    <row r="141" spans="1:10" x14ac:dyDescent="0.45">
      <c r="A141">
        <v>141</v>
      </c>
      <c r="B141" t="s">
        <v>2541</v>
      </c>
      <c r="C141">
        <v>0</v>
      </c>
      <c r="D141">
        <v>1</v>
      </c>
      <c r="E141">
        <v>0</v>
      </c>
      <c r="F141">
        <v>0</v>
      </c>
      <c r="G141">
        <v>0.2</v>
      </c>
      <c r="H141">
        <v>0</v>
      </c>
      <c r="I141">
        <v>1</v>
      </c>
      <c r="J141">
        <v>1</v>
      </c>
    </row>
    <row r="142" spans="1:10" x14ac:dyDescent="0.45">
      <c r="A142">
        <v>142</v>
      </c>
      <c r="B142" t="s">
        <v>2542</v>
      </c>
      <c r="C142">
        <v>0</v>
      </c>
      <c r="D142">
        <v>1</v>
      </c>
      <c r="E142">
        <v>0</v>
      </c>
      <c r="F142">
        <v>0</v>
      </c>
      <c r="G142">
        <v>0.2</v>
      </c>
      <c r="H142">
        <v>0</v>
      </c>
      <c r="I142">
        <v>1</v>
      </c>
      <c r="J142">
        <v>1</v>
      </c>
    </row>
    <row r="143" spans="1:10" x14ac:dyDescent="0.45">
      <c r="A143">
        <v>143</v>
      </c>
      <c r="B143" t="s">
        <v>2543</v>
      </c>
      <c r="C143">
        <v>0</v>
      </c>
      <c r="D143">
        <v>1</v>
      </c>
      <c r="E143">
        <v>0</v>
      </c>
      <c r="F143">
        <v>0</v>
      </c>
      <c r="G143">
        <v>0.2</v>
      </c>
      <c r="H143">
        <v>0</v>
      </c>
      <c r="I143">
        <v>1</v>
      </c>
      <c r="J143">
        <v>1</v>
      </c>
    </row>
    <row r="144" spans="1:10" x14ac:dyDescent="0.45">
      <c r="A144">
        <v>144</v>
      </c>
      <c r="B144" t="s">
        <v>2544</v>
      </c>
      <c r="C144">
        <v>0</v>
      </c>
      <c r="D144">
        <v>1</v>
      </c>
      <c r="E144">
        <v>0</v>
      </c>
      <c r="F144">
        <v>0</v>
      </c>
      <c r="G144">
        <v>0.2</v>
      </c>
      <c r="H144">
        <v>0</v>
      </c>
      <c r="I144">
        <v>1</v>
      </c>
      <c r="J144">
        <v>1</v>
      </c>
    </row>
    <row r="145" spans="1:10" x14ac:dyDescent="0.45">
      <c r="A145">
        <v>145</v>
      </c>
      <c r="B145" t="s">
        <v>2545</v>
      </c>
      <c r="C145">
        <v>0</v>
      </c>
      <c r="D145">
        <v>1</v>
      </c>
      <c r="E145">
        <v>0</v>
      </c>
      <c r="F145">
        <v>0</v>
      </c>
      <c r="G145">
        <v>0.2</v>
      </c>
      <c r="H145">
        <v>0</v>
      </c>
      <c r="I145">
        <v>1</v>
      </c>
      <c r="J145">
        <v>1</v>
      </c>
    </row>
    <row r="146" spans="1:10" x14ac:dyDescent="0.45">
      <c r="A146">
        <v>146</v>
      </c>
      <c r="B146" t="s">
        <v>2546</v>
      </c>
      <c r="C146">
        <v>0</v>
      </c>
      <c r="D146">
        <v>1</v>
      </c>
      <c r="E146">
        <v>0</v>
      </c>
      <c r="F146">
        <v>0</v>
      </c>
      <c r="G146">
        <v>0.2</v>
      </c>
      <c r="H146">
        <v>1</v>
      </c>
      <c r="I146">
        <v>1</v>
      </c>
      <c r="J146">
        <v>1</v>
      </c>
    </row>
    <row r="147" spans="1:10" x14ac:dyDescent="0.45">
      <c r="A147">
        <v>147</v>
      </c>
      <c r="B147" t="s">
        <v>2547</v>
      </c>
      <c r="C147">
        <v>0</v>
      </c>
      <c r="D147">
        <v>1</v>
      </c>
      <c r="E147">
        <v>0</v>
      </c>
      <c r="F147">
        <v>0</v>
      </c>
      <c r="G147">
        <v>0.2</v>
      </c>
      <c r="H147">
        <v>0</v>
      </c>
      <c r="I147">
        <v>1</v>
      </c>
      <c r="J147">
        <v>1</v>
      </c>
    </row>
    <row r="148" spans="1:10" x14ac:dyDescent="0.45">
      <c r="A148">
        <v>148</v>
      </c>
      <c r="B148" t="s">
        <v>2548</v>
      </c>
      <c r="C148">
        <v>0</v>
      </c>
      <c r="D148">
        <v>1</v>
      </c>
      <c r="E148">
        <v>0</v>
      </c>
      <c r="F148">
        <v>0</v>
      </c>
      <c r="G148">
        <v>0.2</v>
      </c>
      <c r="H148">
        <v>0</v>
      </c>
      <c r="I148">
        <v>1</v>
      </c>
      <c r="J148">
        <v>1</v>
      </c>
    </row>
    <row r="149" spans="1:10" x14ac:dyDescent="0.45">
      <c r="A149">
        <v>149</v>
      </c>
      <c r="B149" t="s">
        <v>2549</v>
      </c>
      <c r="C149">
        <v>0.16</v>
      </c>
      <c r="D149">
        <v>0</v>
      </c>
      <c r="E149">
        <v>0</v>
      </c>
      <c r="F149">
        <v>0</v>
      </c>
      <c r="G149">
        <v>0.2</v>
      </c>
      <c r="H149">
        <v>0</v>
      </c>
      <c r="I149">
        <v>1</v>
      </c>
      <c r="J149">
        <v>1</v>
      </c>
    </row>
    <row r="150" spans="1:10" x14ac:dyDescent="0.45">
      <c r="A150">
        <v>150</v>
      </c>
      <c r="B150" t="s">
        <v>548</v>
      </c>
      <c r="C150">
        <v>0.16</v>
      </c>
      <c r="D150">
        <v>0</v>
      </c>
      <c r="E150">
        <v>0</v>
      </c>
      <c r="F150">
        <v>0</v>
      </c>
      <c r="G150">
        <v>0.2</v>
      </c>
      <c r="H150">
        <v>0</v>
      </c>
      <c r="I150">
        <v>1</v>
      </c>
      <c r="J150">
        <v>1</v>
      </c>
    </row>
    <row r="151" spans="1:10" x14ac:dyDescent="0.45">
      <c r="A151">
        <v>151</v>
      </c>
      <c r="B151" t="s">
        <v>1836</v>
      </c>
      <c r="C151">
        <v>0.16</v>
      </c>
      <c r="D151">
        <v>0</v>
      </c>
      <c r="E151">
        <v>0</v>
      </c>
      <c r="F151">
        <v>0</v>
      </c>
      <c r="G151">
        <v>0.2</v>
      </c>
      <c r="H151">
        <v>0</v>
      </c>
      <c r="I151">
        <v>1</v>
      </c>
      <c r="J151">
        <v>1</v>
      </c>
    </row>
    <row r="152" spans="1:10" x14ac:dyDescent="0.45">
      <c r="A152">
        <v>152</v>
      </c>
      <c r="B152" t="s">
        <v>2550</v>
      </c>
      <c r="C152">
        <v>0.16</v>
      </c>
      <c r="D152">
        <v>0</v>
      </c>
      <c r="E152">
        <v>0</v>
      </c>
      <c r="F152">
        <v>0</v>
      </c>
      <c r="G152">
        <v>0.05</v>
      </c>
      <c r="H152">
        <v>0</v>
      </c>
      <c r="I152">
        <v>1</v>
      </c>
      <c r="J152">
        <v>1</v>
      </c>
    </row>
    <row r="153" spans="1:10" x14ac:dyDescent="0.45">
      <c r="A153">
        <v>153</v>
      </c>
      <c r="B153" t="s">
        <v>2551</v>
      </c>
      <c r="C153">
        <v>0</v>
      </c>
      <c r="D153">
        <v>1</v>
      </c>
      <c r="E153">
        <v>0</v>
      </c>
      <c r="F153">
        <v>0</v>
      </c>
      <c r="G153">
        <v>0.13</v>
      </c>
      <c r="H153">
        <v>0</v>
      </c>
      <c r="I153">
        <v>1</v>
      </c>
      <c r="J153">
        <v>1</v>
      </c>
    </row>
    <row r="154" spans="1:10" x14ac:dyDescent="0.45">
      <c r="A154">
        <v>154</v>
      </c>
      <c r="B154" t="s">
        <v>2552</v>
      </c>
      <c r="C154">
        <v>0.16</v>
      </c>
      <c r="D154">
        <v>0</v>
      </c>
      <c r="E154">
        <v>0</v>
      </c>
      <c r="F154">
        <v>0</v>
      </c>
      <c r="G154">
        <v>0.2</v>
      </c>
      <c r="H154">
        <v>0</v>
      </c>
      <c r="I154">
        <v>1</v>
      </c>
      <c r="J154">
        <v>1</v>
      </c>
    </row>
    <row r="155" spans="1:10" x14ac:dyDescent="0.45">
      <c r="A155">
        <v>155</v>
      </c>
      <c r="B155" t="s">
        <v>2553</v>
      </c>
      <c r="C155">
        <v>0.16</v>
      </c>
      <c r="D155">
        <v>0</v>
      </c>
      <c r="E155">
        <v>0</v>
      </c>
      <c r="F155">
        <v>0</v>
      </c>
      <c r="G155">
        <v>0.13</v>
      </c>
      <c r="H155">
        <v>0</v>
      </c>
      <c r="I155">
        <v>1</v>
      </c>
      <c r="J155">
        <v>1</v>
      </c>
    </row>
    <row r="156" spans="1:10" x14ac:dyDescent="0.45">
      <c r="A156">
        <v>156</v>
      </c>
      <c r="B156" t="s">
        <v>2554</v>
      </c>
      <c r="C156">
        <v>0</v>
      </c>
      <c r="D156">
        <v>1</v>
      </c>
      <c r="E156">
        <v>0</v>
      </c>
      <c r="F156">
        <v>0</v>
      </c>
      <c r="G156">
        <v>0.13</v>
      </c>
      <c r="H156">
        <v>0</v>
      </c>
      <c r="I156">
        <v>1</v>
      </c>
      <c r="J156">
        <v>1</v>
      </c>
    </row>
    <row r="157" spans="1:10" x14ac:dyDescent="0.45">
      <c r="A157">
        <v>157</v>
      </c>
      <c r="B157" t="s">
        <v>2555</v>
      </c>
      <c r="C157">
        <v>0</v>
      </c>
      <c r="D157">
        <v>1</v>
      </c>
      <c r="E157">
        <v>0</v>
      </c>
      <c r="F157">
        <v>0</v>
      </c>
      <c r="G157">
        <v>0.13</v>
      </c>
      <c r="H157">
        <v>0</v>
      </c>
      <c r="I157">
        <v>1</v>
      </c>
      <c r="J157">
        <v>1</v>
      </c>
    </row>
    <row r="158" spans="1:10" x14ac:dyDescent="0.45">
      <c r="A158">
        <v>158</v>
      </c>
      <c r="B158" t="s">
        <v>2556</v>
      </c>
      <c r="C158">
        <v>0.16</v>
      </c>
      <c r="D158">
        <v>0</v>
      </c>
      <c r="E158">
        <v>0</v>
      </c>
      <c r="F158">
        <v>0</v>
      </c>
      <c r="G158">
        <v>0.05</v>
      </c>
      <c r="H158">
        <v>0</v>
      </c>
      <c r="I158">
        <v>1</v>
      </c>
      <c r="J158">
        <v>1</v>
      </c>
    </row>
    <row r="159" spans="1:10" x14ac:dyDescent="0.45">
      <c r="A159">
        <v>159</v>
      </c>
      <c r="B159" t="s">
        <v>2557</v>
      </c>
      <c r="C159">
        <v>0</v>
      </c>
      <c r="D159">
        <v>1</v>
      </c>
      <c r="E159">
        <v>0</v>
      </c>
      <c r="F159">
        <v>0</v>
      </c>
      <c r="G159">
        <v>0.2</v>
      </c>
      <c r="H159">
        <v>0</v>
      </c>
      <c r="I159">
        <v>1</v>
      </c>
      <c r="J159">
        <v>1</v>
      </c>
    </row>
    <row r="160" spans="1:10" x14ac:dyDescent="0.45">
      <c r="A160">
        <v>160</v>
      </c>
      <c r="B160" t="s">
        <v>1036</v>
      </c>
      <c r="C160">
        <v>0</v>
      </c>
      <c r="D160">
        <v>1</v>
      </c>
      <c r="E160">
        <v>0</v>
      </c>
      <c r="F160">
        <v>0</v>
      </c>
      <c r="G160">
        <v>0.2</v>
      </c>
      <c r="H160">
        <v>0</v>
      </c>
      <c r="I160">
        <v>1</v>
      </c>
      <c r="J160">
        <v>1</v>
      </c>
    </row>
    <row r="161" spans="1:10" x14ac:dyDescent="0.45">
      <c r="A161">
        <v>161</v>
      </c>
      <c r="B161" t="s">
        <v>2558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1</v>
      </c>
    </row>
    <row r="162" spans="1:10" x14ac:dyDescent="0.45">
      <c r="A162">
        <v>162</v>
      </c>
      <c r="B162" t="s">
        <v>2559</v>
      </c>
      <c r="C162">
        <v>0</v>
      </c>
      <c r="D162">
        <v>1</v>
      </c>
      <c r="E162">
        <v>0</v>
      </c>
      <c r="F162">
        <v>0</v>
      </c>
      <c r="G162">
        <v>0.2</v>
      </c>
      <c r="H162">
        <v>1</v>
      </c>
      <c r="I162">
        <v>1</v>
      </c>
      <c r="J162">
        <v>1</v>
      </c>
    </row>
    <row r="163" spans="1:10" x14ac:dyDescent="0.45">
      <c r="A163">
        <v>163</v>
      </c>
      <c r="B163" t="s">
        <v>2560</v>
      </c>
      <c r="C163">
        <v>0</v>
      </c>
      <c r="D163">
        <v>1</v>
      </c>
      <c r="E163">
        <v>0</v>
      </c>
      <c r="F163">
        <v>0</v>
      </c>
      <c r="G163">
        <v>0.2</v>
      </c>
      <c r="H163">
        <v>0</v>
      </c>
      <c r="I163">
        <v>1</v>
      </c>
      <c r="J163">
        <v>1</v>
      </c>
    </row>
    <row r="164" spans="1:10" x14ac:dyDescent="0.45">
      <c r="A164">
        <v>164</v>
      </c>
      <c r="B164" t="s">
        <v>2561</v>
      </c>
      <c r="C164">
        <v>0</v>
      </c>
      <c r="D164">
        <v>1</v>
      </c>
      <c r="E164">
        <v>0</v>
      </c>
      <c r="F164">
        <v>0</v>
      </c>
      <c r="G164">
        <v>0.2</v>
      </c>
      <c r="H164">
        <v>0</v>
      </c>
      <c r="I164">
        <v>1</v>
      </c>
      <c r="J164">
        <v>1</v>
      </c>
    </row>
    <row r="165" spans="1:10" x14ac:dyDescent="0.45">
      <c r="A165">
        <v>165</v>
      </c>
      <c r="B165" t="s">
        <v>2562</v>
      </c>
      <c r="C165">
        <v>0.16</v>
      </c>
      <c r="D165">
        <v>0</v>
      </c>
      <c r="E165">
        <v>0</v>
      </c>
      <c r="F165">
        <v>0</v>
      </c>
      <c r="G165">
        <v>0.2</v>
      </c>
      <c r="H165">
        <v>0</v>
      </c>
      <c r="I165">
        <v>1</v>
      </c>
      <c r="J165">
        <v>1</v>
      </c>
    </row>
    <row r="166" spans="1:10" x14ac:dyDescent="0.45">
      <c r="A166">
        <v>166</v>
      </c>
      <c r="B166" t="s">
        <v>2563</v>
      </c>
      <c r="C166">
        <v>0.16</v>
      </c>
      <c r="D166">
        <v>0</v>
      </c>
      <c r="E166">
        <v>0</v>
      </c>
      <c r="F166">
        <v>0</v>
      </c>
      <c r="G166">
        <v>0.2</v>
      </c>
      <c r="H166">
        <v>0</v>
      </c>
      <c r="I166">
        <v>1</v>
      </c>
      <c r="J166">
        <v>1</v>
      </c>
    </row>
    <row r="167" spans="1:10" x14ac:dyDescent="0.45">
      <c r="A167">
        <v>167</v>
      </c>
      <c r="B167" t="s">
        <v>2564</v>
      </c>
      <c r="C167">
        <v>0.16</v>
      </c>
      <c r="D167">
        <v>0</v>
      </c>
      <c r="E167">
        <v>0</v>
      </c>
      <c r="F167">
        <v>0</v>
      </c>
      <c r="G167">
        <v>0.05</v>
      </c>
      <c r="H167">
        <v>1</v>
      </c>
      <c r="I167">
        <v>1</v>
      </c>
      <c r="J167">
        <v>1</v>
      </c>
    </row>
    <row r="168" spans="1:10" x14ac:dyDescent="0.45">
      <c r="A168">
        <v>168</v>
      </c>
      <c r="B168" t="s">
        <v>2565</v>
      </c>
      <c r="C168">
        <v>0.16</v>
      </c>
      <c r="D168">
        <v>0</v>
      </c>
      <c r="E168">
        <v>0</v>
      </c>
      <c r="F168">
        <v>0</v>
      </c>
      <c r="G168">
        <v>0.2</v>
      </c>
      <c r="H168">
        <v>0</v>
      </c>
      <c r="I168">
        <v>1</v>
      </c>
      <c r="J168">
        <v>1</v>
      </c>
    </row>
    <row r="169" spans="1:10" x14ac:dyDescent="0.45">
      <c r="A169">
        <v>169</v>
      </c>
      <c r="B169" t="s">
        <v>2566</v>
      </c>
      <c r="C169">
        <v>0</v>
      </c>
      <c r="D169">
        <v>1</v>
      </c>
      <c r="E169">
        <v>0</v>
      </c>
      <c r="F169">
        <v>0</v>
      </c>
      <c r="G169">
        <v>0.13</v>
      </c>
      <c r="H169">
        <v>0</v>
      </c>
      <c r="I169">
        <v>1</v>
      </c>
      <c r="J169">
        <v>1</v>
      </c>
    </row>
    <row r="170" spans="1:10" x14ac:dyDescent="0.45">
      <c r="A170">
        <v>170</v>
      </c>
      <c r="B170" t="s">
        <v>2567</v>
      </c>
      <c r="C170">
        <v>0.16</v>
      </c>
      <c r="D170">
        <v>0</v>
      </c>
      <c r="E170">
        <v>0</v>
      </c>
      <c r="F170">
        <v>0</v>
      </c>
      <c r="G170">
        <v>0.13</v>
      </c>
      <c r="H170">
        <v>0</v>
      </c>
      <c r="I170">
        <v>1</v>
      </c>
      <c r="J170">
        <v>1</v>
      </c>
    </row>
    <row r="171" spans="1:10" x14ac:dyDescent="0.45">
      <c r="A171">
        <v>171</v>
      </c>
      <c r="B171" t="s">
        <v>2568</v>
      </c>
      <c r="C171">
        <v>0.16</v>
      </c>
      <c r="D171">
        <v>0</v>
      </c>
      <c r="E171">
        <v>0</v>
      </c>
      <c r="F171">
        <v>0</v>
      </c>
      <c r="G171">
        <v>0.2</v>
      </c>
      <c r="H171">
        <v>0</v>
      </c>
      <c r="I171">
        <v>1</v>
      </c>
      <c r="J171">
        <v>1</v>
      </c>
    </row>
    <row r="172" spans="1:10" x14ac:dyDescent="0.45">
      <c r="A172">
        <v>172</v>
      </c>
      <c r="B172" t="s">
        <v>2569</v>
      </c>
      <c r="C172">
        <v>0.16</v>
      </c>
      <c r="D172">
        <v>0</v>
      </c>
      <c r="E172">
        <v>0</v>
      </c>
      <c r="F172">
        <v>0</v>
      </c>
      <c r="G172">
        <v>0.2</v>
      </c>
      <c r="H172">
        <v>1</v>
      </c>
      <c r="I172">
        <v>1</v>
      </c>
      <c r="J172">
        <v>1</v>
      </c>
    </row>
    <row r="173" spans="1:10" x14ac:dyDescent="0.45">
      <c r="A173">
        <v>173</v>
      </c>
      <c r="B173" t="s">
        <v>2570</v>
      </c>
      <c r="C173">
        <v>0.16</v>
      </c>
      <c r="D173">
        <v>0</v>
      </c>
      <c r="E173">
        <v>0</v>
      </c>
      <c r="F173">
        <v>0</v>
      </c>
      <c r="G173">
        <v>0.2</v>
      </c>
      <c r="H173">
        <v>0</v>
      </c>
      <c r="I173">
        <v>1</v>
      </c>
      <c r="J173">
        <v>1</v>
      </c>
    </row>
    <row r="174" spans="1:10" x14ac:dyDescent="0.45">
      <c r="A174">
        <v>174</v>
      </c>
      <c r="B174" t="s">
        <v>2571</v>
      </c>
      <c r="C174">
        <v>0.16</v>
      </c>
      <c r="D174">
        <v>0</v>
      </c>
      <c r="E174">
        <v>0</v>
      </c>
      <c r="F174">
        <v>0</v>
      </c>
      <c r="G174">
        <v>0.2</v>
      </c>
      <c r="H174">
        <v>1</v>
      </c>
      <c r="I174">
        <v>1</v>
      </c>
      <c r="J174">
        <v>1</v>
      </c>
    </row>
    <row r="175" spans="1:10" x14ac:dyDescent="0.45">
      <c r="A175">
        <v>175</v>
      </c>
      <c r="B175" t="s">
        <v>2572</v>
      </c>
      <c r="C175">
        <v>0.16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</row>
    <row r="176" spans="1:10" x14ac:dyDescent="0.45">
      <c r="A176">
        <v>176</v>
      </c>
      <c r="B176" t="s">
        <v>2573</v>
      </c>
      <c r="C176">
        <v>0.16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</row>
    <row r="177" spans="1:10" x14ac:dyDescent="0.45">
      <c r="A177">
        <v>177</v>
      </c>
      <c r="B177" t="s">
        <v>2574</v>
      </c>
      <c r="C177">
        <v>0.16</v>
      </c>
      <c r="D177">
        <v>0</v>
      </c>
      <c r="E177">
        <v>0</v>
      </c>
      <c r="F177">
        <v>0</v>
      </c>
      <c r="G177">
        <v>0.2</v>
      </c>
      <c r="H177">
        <v>1</v>
      </c>
      <c r="I177">
        <v>6</v>
      </c>
      <c r="J177">
        <v>1</v>
      </c>
    </row>
    <row r="178" spans="1:10" x14ac:dyDescent="0.45">
      <c r="A178">
        <v>178</v>
      </c>
      <c r="B178" t="s">
        <v>2575</v>
      </c>
      <c r="C178">
        <v>0.16</v>
      </c>
      <c r="D178">
        <v>0</v>
      </c>
      <c r="E178">
        <v>0</v>
      </c>
      <c r="F178">
        <v>0</v>
      </c>
      <c r="G178">
        <v>0.2</v>
      </c>
      <c r="H178">
        <v>0</v>
      </c>
      <c r="I178">
        <v>6</v>
      </c>
      <c r="J178">
        <v>1</v>
      </c>
    </row>
    <row r="179" spans="1:10" x14ac:dyDescent="0.45">
      <c r="A179">
        <v>179</v>
      </c>
      <c r="B179" t="s">
        <v>2576</v>
      </c>
      <c r="C179">
        <v>0</v>
      </c>
      <c r="D179">
        <v>1</v>
      </c>
      <c r="E179">
        <v>0</v>
      </c>
      <c r="F179">
        <v>0</v>
      </c>
      <c r="G179">
        <v>0.2</v>
      </c>
      <c r="H179">
        <v>0</v>
      </c>
      <c r="I179">
        <v>6</v>
      </c>
      <c r="J179">
        <v>1</v>
      </c>
    </row>
    <row r="180" spans="1:10" x14ac:dyDescent="0.45">
      <c r="A180">
        <v>180</v>
      </c>
      <c r="B180" t="s">
        <v>2577</v>
      </c>
      <c r="C180">
        <v>0</v>
      </c>
      <c r="D180">
        <v>1</v>
      </c>
      <c r="E180">
        <v>0</v>
      </c>
      <c r="F180">
        <v>0</v>
      </c>
      <c r="G180">
        <v>0.2</v>
      </c>
      <c r="H180">
        <v>0</v>
      </c>
      <c r="I180">
        <v>6</v>
      </c>
      <c r="J180">
        <v>1</v>
      </c>
    </row>
    <row r="181" spans="1:10" x14ac:dyDescent="0.45">
      <c r="A181">
        <v>181</v>
      </c>
      <c r="B181" t="s">
        <v>2578</v>
      </c>
      <c r="C181">
        <v>0</v>
      </c>
      <c r="D181">
        <v>1</v>
      </c>
      <c r="E181">
        <v>0</v>
      </c>
      <c r="F181">
        <v>0</v>
      </c>
      <c r="G181">
        <v>0.2</v>
      </c>
      <c r="H181">
        <v>0</v>
      </c>
      <c r="I181">
        <v>1</v>
      </c>
      <c r="J181">
        <v>1</v>
      </c>
    </row>
    <row r="182" spans="1:10" x14ac:dyDescent="0.45">
      <c r="A182">
        <v>182</v>
      </c>
      <c r="B182" t="s">
        <v>2579</v>
      </c>
      <c r="C182">
        <v>0.16</v>
      </c>
      <c r="D182">
        <v>0</v>
      </c>
      <c r="E182">
        <v>0</v>
      </c>
      <c r="F182">
        <v>0</v>
      </c>
      <c r="G182">
        <v>0.2</v>
      </c>
      <c r="H182">
        <v>0</v>
      </c>
      <c r="I182">
        <v>1</v>
      </c>
      <c r="J182">
        <v>1</v>
      </c>
    </row>
    <row r="183" spans="1:10" x14ac:dyDescent="0.45">
      <c r="A183">
        <v>183</v>
      </c>
      <c r="B183" t="s">
        <v>2580</v>
      </c>
      <c r="C183">
        <v>0.16</v>
      </c>
      <c r="D183">
        <v>0</v>
      </c>
      <c r="E183">
        <v>0</v>
      </c>
      <c r="F183">
        <v>0</v>
      </c>
      <c r="G183">
        <v>0.2</v>
      </c>
      <c r="H183">
        <v>0</v>
      </c>
      <c r="I183">
        <v>1</v>
      </c>
      <c r="J183">
        <v>1</v>
      </c>
    </row>
    <row r="184" spans="1:10" x14ac:dyDescent="0.45">
      <c r="A184">
        <v>184</v>
      </c>
      <c r="B184" t="s">
        <v>2581</v>
      </c>
      <c r="C184">
        <v>0</v>
      </c>
      <c r="D184">
        <v>1</v>
      </c>
      <c r="E184">
        <v>0</v>
      </c>
      <c r="F184">
        <v>0</v>
      </c>
      <c r="G184">
        <v>0.2</v>
      </c>
      <c r="H184">
        <v>0</v>
      </c>
      <c r="I184">
        <v>1</v>
      </c>
      <c r="J184">
        <v>1</v>
      </c>
    </row>
    <row r="185" spans="1:10" x14ac:dyDescent="0.45">
      <c r="A185">
        <v>186</v>
      </c>
      <c r="B185" t="s">
        <v>2582</v>
      </c>
      <c r="C185">
        <v>0.16</v>
      </c>
      <c r="D185">
        <v>0</v>
      </c>
      <c r="E185">
        <v>0</v>
      </c>
      <c r="F185">
        <v>0</v>
      </c>
      <c r="G185">
        <v>0.2</v>
      </c>
      <c r="H185">
        <v>0</v>
      </c>
      <c r="I185">
        <v>1</v>
      </c>
      <c r="J185">
        <v>1</v>
      </c>
    </row>
    <row r="186" spans="1:10" x14ac:dyDescent="0.45">
      <c r="A186">
        <v>187</v>
      </c>
      <c r="B186" t="s">
        <v>2583</v>
      </c>
      <c r="C186">
        <v>0.16</v>
      </c>
      <c r="D186">
        <v>0</v>
      </c>
      <c r="E186">
        <v>0</v>
      </c>
      <c r="F186">
        <v>0</v>
      </c>
      <c r="G186">
        <v>0.2</v>
      </c>
      <c r="H186">
        <v>0</v>
      </c>
      <c r="I186">
        <v>1</v>
      </c>
      <c r="J186">
        <v>1</v>
      </c>
    </row>
    <row r="187" spans="1:10" x14ac:dyDescent="0.45">
      <c r="A187">
        <v>188</v>
      </c>
      <c r="B187" t="s">
        <v>2584</v>
      </c>
      <c r="C187">
        <v>0.16</v>
      </c>
      <c r="D187">
        <v>0</v>
      </c>
      <c r="E187">
        <v>0</v>
      </c>
      <c r="F187">
        <v>0</v>
      </c>
      <c r="G187">
        <v>0.05</v>
      </c>
      <c r="H187">
        <v>0</v>
      </c>
      <c r="I187">
        <v>1</v>
      </c>
      <c r="J187">
        <v>1</v>
      </c>
    </row>
    <row r="188" spans="1:10" x14ac:dyDescent="0.45">
      <c r="A188">
        <v>189</v>
      </c>
      <c r="B188" t="s">
        <v>2585</v>
      </c>
      <c r="C188">
        <v>0.16</v>
      </c>
      <c r="D188">
        <v>0</v>
      </c>
      <c r="E188">
        <v>0</v>
      </c>
      <c r="F188">
        <v>0</v>
      </c>
      <c r="G188">
        <v>0.05</v>
      </c>
      <c r="H188">
        <v>0</v>
      </c>
      <c r="I188">
        <v>1</v>
      </c>
      <c r="J188">
        <v>1</v>
      </c>
    </row>
    <row r="189" spans="1:10" x14ac:dyDescent="0.45">
      <c r="A189">
        <v>190</v>
      </c>
      <c r="B189" t="s">
        <v>2586</v>
      </c>
      <c r="C189">
        <v>0.16</v>
      </c>
      <c r="D189">
        <v>0</v>
      </c>
      <c r="E189">
        <v>0</v>
      </c>
      <c r="F189">
        <v>0</v>
      </c>
      <c r="G189">
        <v>0.05</v>
      </c>
      <c r="H189">
        <v>0</v>
      </c>
      <c r="I189">
        <v>1</v>
      </c>
      <c r="J189">
        <v>1</v>
      </c>
    </row>
    <row r="190" spans="1:10" x14ac:dyDescent="0.45">
      <c r="A190">
        <v>191</v>
      </c>
      <c r="B190" t="s">
        <v>2587</v>
      </c>
      <c r="C190">
        <v>0.16</v>
      </c>
      <c r="D190">
        <v>0</v>
      </c>
      <c r="E190">
        <v>0</v>
      </c>
      <c r="F190">
        <v>0</v>
      </c>
      <c r="G190">
        <v>0.13</v>
      </c>
      <c r="H190">
        <v>1</v>
      </c>
      <c r="I190">
        <v>1</v>
      </c>
      <c r="J190">
        <v>1</v>
      </c>
    </row>
    <row r="191" spans="1:10" x14ac:dyDescent="0.45">
      <c r="A191">
        <v>192</v>
      </c>
      <c r="B191" t="s">
        <v>1065</v>
      </c>
      <c r="C191">
        <v>0.16</v>
      </c>
      <c r="D191">
        <v>0</v>
      </c>
      <c r="E191">
        <v>0</v>
      </c>
      <c r="F191">
        <v>0</v>
      </c>
      <c r="G191">
        <v>0.2</v>
      </c>
      <c r="H191">
        <v>0</v>
      </c>
      <c r="I191">
        <v>1</v>
      </c>
      <c r="J191">
        <v>1</v>
      </c>
    </row>
    <row r="192" spans="1:10" x14ac:dyDescent="0.45">
      <c r="A192">
        <v>193</v>
      </c>
      <c r="B192" t="s">
        <v>1068</v>
      </c>
      <c r="C192">
        <v>0</v>
      </c>
      <c r="D192">
        <v>1</v>
      </c>
      <c r="E192">
        <v>0</v>
      </c>
      <c r="F192">
        <v>0</v>
      </c>
      <c r="G192">
        <v>0.2</v>
      </c>
      <c r="H192">
        <v>0</v>
      </c>
      <c r="I192">
        <v>1</v>
      </c>
      <c r="J192">
        <v>1</v>
      </c>
    </row>
    <row r="193" spans="1:10" x14ac:dyDescent="0.45">
      <c r="A193">
        <v>194</v>
      </c>
      <c r="B193" t="s">
        <v>2588</v>
      </c>
      <c r="C193">
        <v>0.16</v>
      </c>
      <c r="D193">
        <v>0</v>
      </c>
      <c r="E193">
        <v>0</v>
      </c>
      <c r="F193">
        <v>0</v>
      </c>
      <c r="G193">
        <v>0.05</v>
      </c>
      <c r="H193">
        <v>0</v>
      </c>
      <c r="I193">
        <v>1</v>
      </c>
      <c r="J193">
        <v>1</v>
      </c>
    </row>
    <row r="194" spans="1:10" x14ac:dyDescent="0.45">
      <c r="A194">
        <v>195</v>
      </c>
      <c r="B194" t="s">
        <v>2589</v>
      </c>
      <c r="C194">
        <v>0.16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</row>
    <row r="195" spans="1:10" x14ac:dyDescent="0.45">
      <c r="A195">
        <v>196</v>
      </c>
      <c r="B195" t="s">
        <v>2590</v>
      </c>
      <c r="C195">
        <v>0.16</v>
      </c>
      <c r="D195">
        <v>0</v>
      </c>
      <c r="E195">
        <v>0</v>
      </c>
      <c r="F195">
        <v>0</v>
      </c>
      <c r="G195">
        <v>0.05</v>
      </c>
      <c r="H195">
        <v>0</v>
      </c>
      <c r="I195">
        <v>1</v>
      </c>
      <c r="J195">
        <v>1</v>
      </c>
    </row>
    <row r="196" spans="1:10" x14ac:dyDescent="0.45">
      <c r="A196">
        <v>197</v>
      </c>
      <c r="B196" t="s">
        <v>2591</v>
      </c>
      <c r="C196">
        <v>0.16</v>
      </c>
      <c r="D196">
        <v>0</v>
      </c>
      <c r="E196">
        <v>0</v>
      </c>
      <c r="F196">
        <v>0</v>
      </c>
      <c r="G196">
        <v>0.2</v>
      </c>
      <c r="H196">
        <v>0</v>
      </c>
      <c r="I196">
        <v>1</v>
      </c>
      <c r="J196">
        <v>1</v>
      </c>
    </row>
    <row r="197" spans="1:10" x14ac:dyDescent="0.45">
      <c r="A197">
        <v>198</v>
      </c>
      <c r="B197" t="s">
        <v>2592</v>
      </c>
      <c r="C197">
        <v>0.16</v>
      </c>
      <c r="D197">
        <v>0</v>
      </c>
      <c r="E197">
        <v>0</v>
      </c>
      <c r="F197">
        <v>0</v>
      </c>
      <c r="G197">
        <v>0.05</v>
      </c>
      <c r="H197">
        <v>0</v>
      </c>
      <c r="I197">
        <v>1</v>
      </c>
      <c r="J197">
        <v>1</v>
      </c>
    </row>
    <row r="198" spans="1:10" x14ac:dyDescent="0.45">
      <c r="A198">
        <v>199</v>
      </c>
      <c r="B198" t="s">
        <v>2593</v>
      </c>
      <c r="C198">
        <v>0.16</v>
      </c>
      <c r="D198">
        <v>0</v>
      </c>
      <c r="E198">
        <v>0</v>
      </c>
      <c r="F198">
        <v>0</v>
      </c>
      <c r="G198">
        <v>0.05</v>
      </c>
      <c r="H198">
        <v>0</v>
      </c>
      <c r="I198">
        <v>1</v>
      </c>
      <c r="J198">
        <v>1</v>
      </c>
    </row>
    <row r="199" spans="1:10" x14ac:dyDescent="0.45">
      <c r="A199">
        <v>200</v>
      </c>
      <c r="B199" t="s">
        <v>2594</v>
      </c>
      <c r="C199">
        <v>0.16</v>
      </c>
      <c r="D199">
        <v>0</v>
      </c>
      <c r="E199">
        <v>0</v>
      </c>
      <c r="F199">
        <v>0</v>
      </c>
      <c r="G199">
        <v>0.2</v>
      </c>
      <c r="H199">
        <v>0</v>
      </c>
      <c r="I199">
        <v>1</v>
      </c>
      <c r="J199">
        <v>1</v>
      </c>
    </row>
    <row r="200" spans="1:10" x14ac:dyDescent="0.45">
      <c r="A200">
        <v>201</v>
      </c>
      <c r="B200" t="s">
        <v>2595</v>
      </c>
      <c r="C200">
        <v>0.16</v>
      </c>
      <c r="D200">
        <v>0</v>
      </c>
      <c r="E200">
        <v>0</v>
      </c>
      <c r="F200">
        <v>0</v>
      </c>
      <c r="G200">
        <v>0.2</v>
      </c>
      <c r="H200">
        <v>0</v>
      </c>
      <c r="I200">
        <v>14</v>
      </c>
      <c r="J200">
        <v>1</v>
      </c>
    </row>
    <row r="201" spans="1:10" x14ac:dyDescent="0.45">
      <c r="A201">
        <v>202</v>
      </c>
      <c r="B201" t="s">
        <v>2596</v>
      </c>
      <c r="C201">
        <v>0.16</v>
      </c>
      <c r="D201">
        <v>0</v>
      </c>
      <c r="E201">
        <v>0</v>
      </c>
      <c r="F201">
        <v>0</v>
      </c>
      <c r="G201">
        <v>0.2</v>
      </c>
      <c r="H201">
        <v>0</v>
      </c>
      <c r="I201">
        <v>14</v>
      </c>
      <c r="J201">
        <v>1</v>
      </c>
    </row>
    <row r="202" spans="1:10" x14ac:dyDescent="0.45">
      <c r="A202">
        <v>203</v>
      </c>
      <c r="B202" t="s">
        <v>2597</v>
      </c>
      <c r="C202">
        <v>0.16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22</v>
      </c>
      <c r="J202">
        <v>1</v>
      </c>
    </row>
    <row r="203" spans="1:10" x14ac:dyDescent="0.45">
      <c r="A203">
        <v>204</v>
      </c>
      <c r="B203" t="s">
        <v>2598</v>
      </c>
      <c r="C203">
        <v>0.16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7</v>
      </c>
      <c r="J203">
        <v>1</v>
      </c>
    </row>
    <row r="204" spans="1:10" x14ac:dyDescent="0.45">
      <c r="A204">
        <v>206</v>
      </c>
      <c r="B204" t="s">
        <v>2599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7</v>
      </c>
      <c r="J204">
        <v>1</v>
      </c>
    </row>
    <row r="205" spans="1:10" x14ac:dyDescent="0.45">
      <c r="A205">
        <v>207</v>
      </c>
      <c r="B205" t="s">
        <v>2600</v>
      </c>
      <c r="C205">
        <v>0.16</v>
      </c>
      <c r="D205">
        <v>0</v>
      </c>
      <c r="E205">
        <v>0</v>
      </c>
      <c r="F205">
        <v>0</v>
      </c>
      <c r="G205">
        <v>0.2</v>
      </c>
      <c r="H205">
        <v>0</v>
      </c>
      <c r="I205">
        <v>7</v>
      </c>
      <c r="J205">
        <v>1</v>
      </c>
    </row>
    <row r="206" spans="1:10" x14ac:dyDescent="0.45">
      <c r="A206">
        <v>208</v>
      </c>
      <c r="B206" t="s">
        <v>2601</v>
      </c>
      <c r="C206">
        <v>0.16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7</v>
      </c>
      <c r="J206">
        <v>1</v>
      </c>
    </row>
    <row r="207" spans="1:10" x14ac:dyDescent="0.45">
      <c r="A207">
        <v>209</v>
      </c>
      <c r="B207" t="s">
        <v>2602</v>
      </c>
      <c r="C207">
        <v>0.16</v>
      </c>
      <c r="D207">
        <v>0</v>
      </c>
      <c r="E207">
        <v>0</v>
      </c>
      <c r="F207">
        <v>0</v>
      </c>
      <c r="G207">
        <v>0.2</v>
      </c>
      <c r="H207">
        <v>0</v>
      </c>
      <c r="I207">
        <v>7</v>
      </c>
      <c r="J207">
        <v>1</v>
      </c>
    </row>
    <row r="208" spans="1:10" x14ac:dyDescent="0.45">
      <c r="A208">
        <v>210</v>
      </c>
      <c r="B208" t="s">
        <v>2603</v>
      </c>
      <c r="C208">
        <v>0.16</v>
      </c>
      <c r="D208">
        <v>0</v>
      </c>
      <c r="E208">
        <v>0</v>
      </c>
      <c r="F208">
        <v>0</v>
      </c>
      <c r="G208">
        <v>0.2</v>
      </c>
      <c r="H208">
        <v>0</v>
      </c>
      <c r="I208">
        <v>7</v>
      </c>
      <c r="J208">
        <v>1</v>
      </c>
    </row>
    <row r="209" spans="1:10" x14ac:dyDescent="0.45">
      <c r="A209">
        <v>211</v>
      </c>
      <c r="B209" t="s">
        <v>2604</v>
      </c>
      <c r="C209">
        <v>0.16</v>
      </c>
      <c r="D209">
        <v>0</v>
      </c>
      <c r="E209">
        <v>0</v>
      </c>
      <c r="F209">
        <v>0</v>
      </c>
      <c r="G209">
        <v>0.2</v>
      </c>
      <c r="H209">
        <v>0</v>
      </c>
      <c r="I209">
        <v>14</v>
      </c>
      <c r="J209">
        <v>1</v>
      </c>
    </row>
    <row r="210" spans="1:10" x14ac:dyDescent="0.45">
      <c r="A210">
        <v>212</v>
      </c>
      <c r="B210" t="s">
        <v>2605</v>
      </c>
      <c r="C210">
        <v>0.16</v>
      </c>
      <c r="D210">
        <v>0</v>
      </c>
      <c r="E210">
        <v>0</v>
      </c>
      <c r="F210">
        <v>0</v>
      </c>
      <c r="G210">
        <v>0.2</v>
      </c>
      <c r="H210">
        <v>0</v>
      </c>
      <c r="I210">
        <v>14</v>
      </c>
      <c r="J210">
        <v>1</v>
      </c>
    </row>
    <row r="211" spans="1:10" x14ac:dyDescent="0.45">
      <c r="A211">
        <v>213</v>
      </c>
      <c r="B211" t="s">
        <v>2606</v>
      </c>
      <c r="C211">
        <v>0.16</v>
      </c>
      <c r="D211">
        <v>0</v>
      </c>
      <c r="E211">
        <v>0</v>
      </c>
      <c r="F211">
        <v>0</v>
      </c>
      <c r="G211">
        <v>0.2</v>
      </c>
      <c r="H211">
        <v>0</v>
      </c>
      <c r="I211">
        <v>14</v>
      </c>
      <c r="J211">
        <v>1</v>
      </c>
    </row>
    <row r="212" spans="1:10" x14ac:dyDescent="0.45">
      <c r="A212">
        <v>214</v>
      </c>
      <c r="B212" t="s">
        <v>2607</v>
      </c>
      <c r="C212">
        <v>0.16</v>
      </c>
      <c r="D212">
        <v>0</v>
      </c>
      <c r="E212">
        <v>0</v>
      </c>
      <c r="F212">
        <v>0</v>
      </c>
      <c r="G212">
        <v>0.2</v>
      </c>
      <c r="H212">
        <v>0</v>
      </c>
      <c r="I212">
        <v>14</v>
      </c>
      <c r="J212">
        <v>1</v>
      </c>
    </row>
    <row r="213" spans="1:10" x14ac:dyDescent="0.45">
      <c r="A213">
        <v>215</v>
      </c>
      <c r="B213" t="s">
        <v>2608</v>
      </c>
      <c r="C213">
        <v>0.16</v>
      </c>
      <c r="D213">
        <v>0</v>
      </c>
      <c r="E213">
        <v>0</v>
      </c>
      <c r="F213">
        <v>0</v>
      </c>
      <c r="G213">
        <v>0.2</v>
      </c>
      <c r="H213">
        <v>0</v>
      </c>
      <c r="I213">
        <v>14</v>
      </c>
      <c r="J213">
        <v>1</v>
      </c>
    </row>
    <row r="214" spans="1:10" x14ac:dyDescent="0.45">
      <c r="A214">
        <v>216</v>
      </c>
      <c r="B214" t="s">
        <v>2609</v>
      </c>
      <c r="C214">
        <v>0.16</v>
      </c>
      <c r="D214">
        <v>0</v>
      </c>
      <c r="E214">
        <v>0</v>
      </c>
      <c r="F214">
        <v>0</v>
      </c>
      <c r="G214">
        <v>0.2</v>
      </c>
      <c r="H214">
        <v>0</v>
      </c>
      <c r="I214">
        <v>14</v>
      </c>
      <c r="J214">
        <v>1</v>
      </c>
    </row>
    <row r="215" spans="1:10" x14ac:dyDescent="0.45">
      <c r="A215">
        <v>217</v>
      </c>
      <c r="B215" t="s">
        <v>2610</v>
      </c>
      <c r="C215">
        <v>0.16</v>
      </c>
      <c r="D215">
        <v>0</v>
      </c>
      <c r="E215">
        <v>0</v>
      </c>
      <c r="F215">
        <v>0</v>
      </c>
      <c r="G215">
        <v>0.2</v>
      </c>
      <c r="H215">
        <v>0</v>
      </c>
      <c r="I215">
        <v>14</v>
      </c>
      <c r="J215">
        <v>1</v>
      </c>
    </row>
    <row r="216" spans="1:10" x14ac:dyDescent="0.45">
      <c r="A216">
        <v>218</v>
      </c>
      <c r="B216" t="s">
        <v>2611</v>
      </c>
      <c r="C216">
        <v>0.16</v>
      </c>
      <c r="D216">
        <v>0</v>
      </c>
      <c r="E216">
        <v>0</v>
      </c>
      <c r="F216">
        <v>0</v>
      </c>
      <c r="G216">
        <v>0.2</v>
      </c>
      <c r="H216">
        <v>0</v>
      </c>
      <c r="I216">
        <v>14</v>
      </c>
      <c r="J216">
        <v>1</v>
      </c>
    </row>
    <row r="217" spans="1:10" x14ac:dyDescent="0.45">
      <c r="A217">
        <v>219</v>
      </c>
      <c r="B217" t="s">
        <v>2612</v>
      </c>
      <c r="C217">
        <v>0.16</v>
      </c>
      <c r="D217">
        <v>0</v>
      </c>
      <c r="E217">
        <v>0</v>
      </c>
      <c r="F217">
        <v>0</v>
      </c>
      <c r="G217">
        <v>0.2</v>
      </c>
      <c r="H217">
        <v>0</v>
      </c>
      <c r="I217">
        <v>14</v>
      </c>
      <c r="J217">
        <v>1</v>
      </c>
    </row>
    <row r="218" spans="1:10" x14ac:dyDescent="0.45">
      <c r="A218">
        <v>220</v>
      </c>
      <c r="B218" t="s">
        <v>1137</v>
      </c>
      <c r="C218">
        <v>0.16</v>
      </c>
      <c r="D218">
        <v>0</v>
      </c>
      <c r="E218">
        <v>0</v>
      </c>
      <c r="F218">
        <v>0</v>
      </c>
      <c r="G218">
        <v>0.2</v>
      </c>
      <c r="H218">
        <v>0</v>
      </c>
      <c r="I218">
        <v>14</v>
      </c>
      <c r="J218">
        <v>1</v>
      </c>
    </row>
    <row r="219" spans="1:10" x14ac:dyDescent="0.45">
      <c r="A219">
        <v>221</v>
      </c>
      <c r="B219" t="s">
        <v>1169</v>
      </c>
      <c r="C219">
        <v>0.16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14</v>
      </c>
      <c r="J219">
        <v>1</v>
      </c>
    </row>
    <row r="220" spans="1:10" x14ac:dyDescent="0.45">
      <c r="A220">
        <v>222</v>
      </c>
      <c r="B220" t="s">
        <v>2613</v>
      </c>
      <c r="C220">
        <v>0.16</v>
      </c>
      <c r="D220">
        <v>0</v>
      </c>
      <c r="E220">
        <v>0</v>
      </c>
      <c r="F220">
        <v>0</v>
      </c>
      <c r="G220">
        <v>0.2</v>
      </c>
      <c r="H220">
        <v>0</v>
      </c>
      <c r="I220">
        <v>14</v>
      </c>
      <c r="J220">
        <v>1</v>
      </c>
    </row>
    <row r="221" spans="1:10" x14ac:dyDescent="0.45">
      <c r="A221">
        <v>223</v>
      </c>
      <c r="B221" t="s">
        <v>2614</v>
      </c>
      <c r="C221">
        <v>0.16</v>
      </c>
      <c r="D221">
        <v>0</v>
      </c>
      <c r="E221">
        <v>0</v>
      </c>
      <c r="F221">
        <v>0</v>
      </c>
      <c r="G221">
        <v>0.2</v>
      </c>
      <c r="H221">
        <v>0</v>
      </c>
      <c r="I221">
        <v>14</v>
      </c>
      <c r="J221">
        <v>1</v>
      </c>
    </row>
    <row r="222" spans="1:10" x14ac:dyDescent="0.45">
      <c r="A222">
        <v>224</v>
      </c>
      <c r="B222" t="s">
        <v>2615</v>
      </c>
      <c r="C222">
        <v>0.16</v>
      </c>
      <c r="D222">
        <v>0</v>
      </c>
      <c r="E222">
        <v>0</v>
      </c>
      <c r="F222">
        <v>0</v>
      </c>
      <c r="G222">
        <v>0.2</v>
      </c>
      <c r="H222">
        <v>0</v>
      </c>
      <c r="I222">
        <v>14</v>
      </c>
      <c r="J222">
        <v>1</v>
      </c>
    </row>
    <row r="223" spans="1:10" x14ac:dyDescent="0.45">
      <c r="A223">
        <v>225</v>
      </c>
      <c r="B223" t="s">
        <v>2616</v>
      </c>
      <c r="C223">
        <v>0.16</v>
      </c>
      <c r="D223">
        <v>0</v>
      </c>
      <c r="E223">
        <v>0</v>
      </c>
      <c r="F223">
        <v>0</v>
      </c>
      <c r="G223">
        <v>0.2</v>
      </c>
      <c r="H223">
        <v>0</v>
      </c>
      <c r="I223">
        <v>14</v>
      </c>
      <c r="J223">
        <v>1</v>
      </c>
    </row>
    <row r="224" spans="1:10" x14ac:dyDescent="0.45">
      <c r="A224">
        <v>226</v>
      </c>
      <c r="B224" t="s">
        <v>2617</v>
      </c>
      <c r="C224">
        <v>0.16</v>
      </c>
      <c r="D224">
        <v>0</v>
      </c>
      <c r="E224">
        <v>0</v>
      </c>
      <c r="F224">
        <v>0</v>
      </c>
      <c r="G224">
        <v>0.2</v>
      </c>
      <c r="H224">
        <v>0</v>
      </c>
      <c r="I224">
        <v>14</v>
      </c>
      <c r="J224">
        <v>1</v>
      </c>
    </row>
    <row r="225" spans="1:10" x14ac:dyDescent="0.45">
      <c r="A225">
        <v>227</v>
      </c>
      <c r="B225" t="s">
        <v>2618</v>
      </c>
      <c r="C225">
        <v>0.16</v>
      </c>
      <c r="D225">
        <v>0</v>
      </c>
      <c r="E225">
        <v>0</v>
      </c>
      <c r="F225">
        <v>0</v>
      </c>
      <c r="G225">
        <v>0.2</v>
      </c>
      <c r="H225">
        <v>0</v>
      </c>
      <c r="I225">
        <v>14</v>
      </c>
      <c r="J225">
        <v>1</v>
      </c>
    </row>
    <row r="226" spans="1:10" x14ac:dyDescent="0.45">
      <c r="A226">
        <v>228</v>
      </c>
      <c r="B226" t="s">
        <v>2619</v>
      </c>
      <c r="C226">
        <v>0.16</v>
      </c>
      <c r="D226">
        <v>0</v>
      </c>
      <c r="E226">
        <v>0</v>
      </c>
      <c r="F226">
        <v>0</v>
      </c>
      <c r="G226">
        <v>0.2</v>
      </c>
      <c r="H226">
        <v>0</v>
      </c>
      <c r="I226">
        <v>14</v>
      </c>
      <c r="J226">
        <v>1</v>
      </c>
    </row>
    <row r="227" spans="1:10" x14ac:dyDescent="0.45">
      <c r="A227">
        <v>229</v>
      </c>
      <c r="B227" t="s">
        <v>2620</v>
      </c>
      <c r="C227">
        <v>0.16</v>
      </c>
      <c r="D227">
        <v>0</v>
      </c>
      <c r="E227">
        <v>0</v>
      </c>
      <c r="F227">
        <v>0</v>
      </c>
      <c r="G227">
        <v>0.2</v>
      </c>
      <c r="H227">
        <v>0</v>
      </c>
      <c r="I227">
        <v>14</v>
      </c>
      <c r="J227">
        <v>1</v>
      </c>
    </row>
    <row r="228" spans="1:10" x14ac:dyDescent="0.45">
      <c r="A228">
        <v>230</v>
      </c>
      <c r="B228" t="s">
        <v>2621</v>
      </c>
      <c r="C228">
        <v>0.16</v>
      </c>
      <c r="D228">
        <v>0</v>
      </c>
      <c r="E228">
        <v>0</v>
      </c>
      <c r="F228">
        <v>0</v>
      </c>
      <c r="G228">
        <v>0.2</v>
      </c>
      <c r="H228">
        <v>0</v>
      </c>
      <c r="I228">
        <v>14</v>
      </c>
      <c r="J228">
        <v>1</v>
      </c>
    </row>
    <row r="229" spans="1:10" x14ac:dyDescent="0.45">
      <c r="A229">
        <v>231</v>
      </c>
      <c r="B229" t="s">
        <v>2622</v>
      </c>
      <c r="C229">
        <v>0.16</v>
      </c>
      <c r="D229">
        <v>0</v>
      </c>
      <c r="E229">
        <v>0</v>
      </c>
      <c r="F229">
        <v>0</v>
      </c>
      <c r="G229">
        <v>0.2</v>
      </c>
      <c r="H229">
        <v>0</v>
      </c>
      <c r="I229">
        <v>14</v>
      </c>
      <c r="J229">
        <v>1</v>
      </c>
    </row>
    <row r="230" spans="1:10" x14ac:dyDescent="0.45">
      <c r="A230">
        <v>232</v>
      </c>
      <c r="B230" t="s">
        <v>2623</v>
      </c>
      <c r="C230">
        <v>0.16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14</v>
      </c>
      <c r="J230">
        <v>1</v>
      </c>
    </row>
    <row r="231" spans="1:10" x14ac:dyDescent="0.45">
      <c r="A231">
        <v>233</v>
      </c>
      <c r="B231" t="s">
        <v>2624</v>
      </c>
      <c r="C231">
        <v>0.16</v>
      </c>
      <c r="D231">
        <v>0</v>
      </c>
      <c r="E231">
        <v>0</v>
      </c>
      <c r="F231">
        <v>0</v>
      </c>
      <c r="G231">
        <v>0.05</v>
      </c>
      <c r="H231">
        <v>0</v>
      </c>
      <c r="I231">
        <v>7</v>
      </c>
      <c r="J231">
        <v>1</v>
      </c>
    </row>
    <row r="232" spans="1:10" x14ac:dyDescent="0.45">
      <c r="A232">
        <v>234</v>
      </c>
      <c r="B232" t="s">
        <v>2625</v>
      </c>
      <c r="C232">
        <v>0.16</v>
      </c>
      <c r="D232">
        <v>0</v>
      </c>
      <c r="E232">
        <v>0</v>
      </c>
      <c r="F232">
        <v>0</v>
      </c>
      <c r="G232">
        <v>0.05</v>
      </c>
      <c r="H232">
        <v>1</v>
      </c>
      <c r="I232">
        <v>7</v>
      </c>
      <c r="J232">
        <v>1</v>
      </c>
    </row>
    <row r="233" spans="1:10" x14ac:dyDescent="0.45">
      <c r="A233">
        <v>235</v>
      </c>
      <c r="B233" t="s">
        <v>2626</v>
      </c>
      <c r="C233">
        <v>0.16</v>
      </c>
      <c r="D233">
        <v>0</v>
      </c>
      <c r="E233">
        <v>0</v>
      </c>
      <c r="F233">
        <v>0</v>
      </c>
      <c r="G233">
        <v>0.2</v>
      </c>
      <c r="H233">
        <v>0</v>
      </c>
      <c r="I233">
        <v>7</v>
      </c>
      <c r="J233">
        <v>1</v>
      </c>
    </row>
    <row r="234" spans="1:10" x14ac:dyDescent="0.45">
      <c r="A234">
        <v>236</v>
      </c>
      <c r="B234" t="s">
        <v>2627</v>
      </c>
      <c r="C234">
        <v>0.16</v>
      </c>
      <c r="D234">
        <v>0</v>
      </c>
      <c r="E234">
        <v>0</v>
      </c>
      <c r="F234">
        <v>0</v>
      </c>
      <c r="G234">
        <v>0.2</v>
      </c>
      <c r="H234">
        <v>0</v>
      </c>
      <c r="I234">
        <v>7</v>
      </c>
      <c r="J234">
        <v>1</v>
      </c>
    </row>
    <row r="235" spans="1:10" x14ac:dyDescent="0.45">
      <c r="A235">
        <v>237</v>
      </c>
      <c r="B235" t="s">
        <v>2628</v>
      </c>
      <c r="C235">
        <v>0.16</v>
      </c>
      <c r="D235">
        <v>0</v>
      </c>
      <c r="E235">
        <v>0</v>
      </c>
      <c r="F235">
        <v>0</v>
      </c>
      <c r="G235">
        <v>0.2</v>
      </c>
      <c r="H235">
        <v>0</v>
      </c>
      <c r="I235">
        <v>10</v>
      </c>
      <c r="J235">
        <v>1</v>
      </c>
    </row>
    <row r="236" spans="1:10" x14ac:dyDescent="0.45">
      <c r="A236">
        <v>238</v>
      </c>
      <c r="B236" t="s">
        <v>2629</v>
      </c>
      <c r="C236">
        <v>0.16</v>
      </c>
      <c r="D236">
        <v>0</v>
      </c>
      <c r="E236">
        <v>0</v>
      </c>
      <c r="F236">
        <v>0</v>
      </c>
      <c r="G236">
        <v>0.2</v>
      </c>
      <c r="H236">
        <v>0</v>
      </c>
      <c r="I236">
        <v>10</v>
      </c>
      <c r="J236">
        <v>1</v>
      </c>
    </row>
    <row r="237" spans="1:10" x14ac:dyDescent="0.45">
      <c r="A237">
        <v>239</v>
      </c>
      <c r="B237" t="s">
        <v>2630</v>
      </c>
      <c r="C237">
        <v>0.16</v>
      </c>
      <c r="D237">
        <v>0</v>
      </c>
      <c r="E237">
        <v>0</v>
      </c>
      <c r="F237">
        <v>0</v>
      </c>
      <c r="G237">
        <v>0.2</v>
      </c>
      <c r="H237">
        <v>0</v>
      </c>
      <c r="I237">
        <v>10</v>
      </c>
      <c r="J237">
        <v>1</v>
      </c>
    </row>
    <row r="238" spans="1:10" x14ac:dyDescent="0.45">
      <c r="A238">
        <v>240</v>
      </c>
      <c r="B238" t="s">
        <v>2631</v>
      </c>
      <c r="C238">
        <v>0.16</v>
      </c>
      <c r="D238">
        <v>0</v>
      </c>
      <c r="E238">
        <v>0</v>
      </c>
      <c r="F238">
        <v>0</v>
      </c>
      <c r="G238">
        <v>0.2</v>
      </c>
      <c r="H238">
        <v>0</v>
      </c>
      <c r="I238">
        <v>10</v>
      </c>
      <c r="J238">
        <v>1</v>
      </c>
    </row>
    <row r="239" spans="1:10" x14ac:dyDescent="0.45">
      <c r="A239">
        <v>241</v>
      </c>
      <c r="B239" t="s">
        <v>1109</v>
      </c>
      <c r="C239">
        <v>0.16</v>
      </c>
      <c r="D239">
        <v>0</v>
      </c>
      <c r="E239">
        <v>0</v>
      </c>
      <c r="F239">
        <v>0</v>
      </c>
      <c r="G239">
        <v>0.2</v>
      </c>
      <c r="H239">
        <v>0</v>
      </c>
      <c r="I239">
        <v>7</v>
      </c>
      <c r="J239">
        <v>1</v>
      </c>
    </row>
    <row r="240" spans="1:10" x14ac:dyDescent="0.45">
      <c r="A240">
        <v>242</v>
      </c>
      <c r="B240" t="s">
        <v>2632</v>
      </c>
      <c r="C240">
        <v>0.16</v>
      </c>
      <c r="D240">
        <v>0</v>
      </c>
      <c r="E240">
        <v>0</v>
      </c>
      <c r="F240">
        <v>0</v>
      </c>
      <c r="G240">
        <v>0.2</v>
      </c>
      <c r="H240">
        <v>0</v>
      </c>
      <c r="I240">
        <v>7</v>
      </c>
      <c r="J240">
        <v>1</v>
      </c>
    </row>
    <row r="241" spans="1:10" x14ac:dyDescent="0.45">
      <c r="A241">
        <v>243</v>
      </c>
      <c r="B241" t="s">
        <v>2633</v>
      </c>
      <c r="C241">
        <v>0.16</v>
      </c>
      <c r="D241">
        <v>0</v>
      </c>
      <c r="E241">
        <v>0</v>
      </c>
      <c r="F241">
        <v>0</v>
      </c>
      <c r="G241">
        <v>0.13</v>
      </c>
      <c r="H241">
        <v>0</v>
      </c>
      <c r="I241">
        <v>7</v>
      </c>
      <c r="J241">
        <v>1</v>
      </c>
    </row>
    <row r="242" spans="1:10" x14ac:dyDescent="0.45">
      <c r="A242">
        <v>244</v>
      </c>
      <c r="B242" t="s">
        <v>2634</v>
      </c>
      <c r="C242">
        <v>0.16</v>
      </c>
      <c r="D242">
        <v>0</v>
      </c>
      <c r="E242">
        <v>0</v>
      </c>
      <c r="F242">
        <v>0</v>
      </c>
      <c r="G242">
        <v>0.2</v>
      </c>
      <c r="H242">
        <v>0</v>
      </c>
      <c r="I242">
        <v>7</v>
      </c>
      <c r="J242">
        <v>1</v>
      </c>
    </row>
    <row r="243" spans="1:10" x14ac:dyDescent="0.45">
      <c r="A243">
        <v>245</v>
      </c>
      <c r="B243" t="s">
        <v>2635</v>
      </c>
      <c r="C243">
        <v>0.16</v>
      </c>
      <c r="D243">
        <v>0</v>
      </c>
      <c r="E243">
        <v>0</v>
      </c>
      <c r="F243">
        <v>0</v>
      </c>
      <c r="G243">
        <v>0.2</v>
      </c>
      <c r="H243">
        <v>0</v>
      </c>
      <c r="I243">
        <v>7</v>
      </c>
      <c r="J243">
        <v>1</v>
      </c>
    </row>
    <row r="244" spans="1:10" x14ac:dyDescent="0.45">
      <c r="A244">
        <v>246</v>
      </c>
      <c r="B244" t="s">
        <v>2636</v>
      </c>
      <c r="C244">
        <v>0.16</v>
      </c>
      <c r="D244">
        <v>0</v>
      </c>
      <c r="E244">
        <v>0</v>
      </c>
      <c r="F244">
        <v>0</v>
      </c>
      <c r="G244">
        <v>0.2</v>
      </c>
      <c r="H244">
        <v>0</v>
      </c>
      <c r="I244">
        <v>7</v>
      </c>
      <c r="J244">
        <v>1</v>
      </c>
    </row>
    <row r="245" spans="1:10" x14ac:dyDescent="0.45">
      <c r="A245">
        <v>247</v>
      </c>
      <c r="B245" t="s">
        <v>2637</v>
      </c>
      <c r="C245">
        <v>0.16</v>
      </c>
      <c r="D245">
        <v>0</v>
      </c>
      <c r="E245">
        <v>0</v>
      </c>
      <c r="F245">
        <v>0</v>
      </c>
      <c r="G245">
        <v>0.2</v>
      </c>
      <c r="H245">
        <v>0</v>
      </c>
      <c r="I245">
        <v>7</v>
      </c>
      <c r="J245">
        <v>1</v>
      </c>
    </row>
    <row r="246" spans="1:10" x14ac:dyDescent="0.45">
      <c r="A246">
        <v>248</v>
      </c>
      <c r="B246" t="s">
        <v>2638</v>
      </c>
      <c r="C246">
        <v>0.16</v>
      </c>
      <c r="D246">
        <v>0</v>
      </c>
      <c r="E246">
        <v>0</v>
      </c>
      <c r="F246">
        <v>0</v>
      </c>
      <c r="G246">
        <v>0.2</v>
      </c>
      <c r="H246">
        <v>0</v>
      </c>
      <c r="I246">
        <v>7</v>
      </c>
      <c r="J246">
        <v>1</v>
      </c>
    </row>
    <row r="247" spans="1:10" x14ac:dyDescent="0.45">
      <c r="A247">
        <v>249</v>
      </c>
      <c r="B247" t="s">
        <v>2639</v>
      </c>
      <c r="C247">
        <v>0.16</v>
      </c>
      <c r="D247">
        <v>0</v>
      </c>
      <c r="E247">
        <v>0</v>
      </c>
      <c r="F247">
        <v>0</v>
      </c>
      <c r="G247">
        <v>0.2</v>
      </c>
      <c r="H247">
        <v>0</v>
      </c>
      <c r="I247">
        <v>7</v>
      </c>
      <c r="J247">
        <v>1</v>
      </c>
    </row>
    <row r="248" spans="1:10" x14ac:dyDescent="0.45">
      <c r="A248">
        <v>250</v>
      </c>
      <c r="B248" t="s">
        <v>2640</v>
      </c>
      <c r="C248">
        <v>0.16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7</v>
      </c>
      <c r="J248">
        <v>1</v>
      </c>
    </row>
    <row r="249" spans="1:10" x14ac:dyDescent="0.45">
      <c r="A249">
        <v>251</v>
      </c>
      <c r="B249" t="s">
        <v>2641</v>
      </c>
      <c r="C249">
        <v>0.16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7</v>
      </c>
      <c r="J249">
        <v>1</v>
      </c>
    </row>
    <row r="250" spans="1:10" x14ac:dyDescent="0.45">
      <c r="A250">
        <v>252</v>
      </c>
      <c r="B250" t="s">
        <v>2642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7</v>
      </c>
      <c r="J250">
        <v>1</v>
      </c>
    </row>
    <row r="251" spans="1:10" x14ac:dyDescent="0.45">
      <c r="A251">
        <v>253</v>
      </c>
      <c r="B251" t="s">
        <v>2643</v>
      </c>
      <c r="C251">
        <v>0.16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18</v>
      </c>
      <c r="J251">
        <v>1</v>
      </c>
    </row>
    <row r="252" spans="1:10" x14ac:dyDescent="0.45">
      <c r="A252">
        <v>254</v>
      </c>
      <c r="B252" t="s">
        <v>2644</v>
      </c>
      <c r="C252">
        <v>0.2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</v>
      </c>
      <c r="J252">
        <v>1</v>
      </c>
    </row>
    <row r="253" spans="1:10" x14ac:dyDescent="0.45">
      <c r="A253">
        <v>255</v>
      </c>
      <c r="B253" t="s">
        <v>2645</v>
      </c>
      <c r="C253">
        <v>0.2</v>
      </c>
      <c r="D253">
        <v>0</v>
      </c>
      <c r="E253">
        <v>0</v>
      </c>
      <c r="F253">
        <v>0</v>
      </c>
      <c r="G253">
        <v>0.2</v>
      </c>
      <c r="H253">
        <v>0</v>
      </c>
      <c r="I253">
        <v>7</v>
      </c>
      <c r="J253">
        <v>1</v>
      </c>
    </row>
    <row r="254" spans="1:10" x14ac:dyDescent="0.45">
      <c r="A254">
        <v>256</v>
      </c>
      <c r="B254" t="s">
        <v>2646</v>
      </c>
      <c r="C254">
        <v>0.16</v>
      </c>
      <c r="D254">
        <v>0</v>
      </c>
      <c r="E254">
        <v>0</v>
      </c>
      <c r="F254">
        <v>0</v>
      </c>
      <c r="G254">
        <v>0.13</v>
      </c>
      <c r="H254">
        <v>0</v>
      </c>
      <c r="I254">
        <v>12</v>
      </c>
      <c r="J254">
        <v>1</v>
      </c>
    </row>
    <row r="255" spans="1:10" x14ac:dyDescent="0.45">
      <c r="A255">
        <v>257</v>
      </c>
      <c r="B255" t="s">
        <v>2647</v>
      </c>
      <c r="C255">
        <v>0.16</v>
      </c>
      <c r="D255">
        <v>0</v>
      </c>
      <c r="E255">
        <v>0</v>
      </c>
      <c r="F255">
        <v>0</v>
      </c>
      <c r="G255">
        <v>0.13</v>
      </c>
      <c r="H255">
        <v>0</v>
      </c>
      <c r="I255">
        <v>12</v>
      </c>
      <c r="J255">
        <v>1</v>
      </c>
    </row>
    <row r="256" spans="1:10" x14ac:dyDescent="0.45">
      <c r="A256">
        <v>258</v>
      </c>
      <c r="B256" t="s">
        <v>2648</v>
      </c>
      <c r="C256">
        <v>0.16</v>
      </c>
      <c r="D256">
        <v>0</v>
      </c>
      <c r="E256">
        <v>0</v>
      </c>
      <c r="F256">
        <v>0</v>
      </c>
      <c r="G256">
        <v>0.05</v>
      </c>
      <c r="H256">
        <v>0</v>
      </c>
      <c r="I256">
        <v>12</v>
      </c>
      <c r="J256">
        <v>1</v>
      </c>
    </row>
    <row r="257" spans="1:10" x14ac:dyDescent="0.45">
      <c r="A257">
        <v>259</v>
      </c>
      <c r="B257" t="s">
        <v>2649</v>
      </c>
      <c r="C257">
        <v>0.16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7</v>
      </c>
      <c r="J257">
        <v>1</v>
      </c>
    </row>
    <row r="258" spans="1:10" x14ac:dyDescent="0.45">
      <c r="A258">
        <v>260</v>
      </c>
      <c r="B258" t="s">
        <v>2650</v>
      </c>
      <c r="C258">
        <v>0.16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11</v>
      </c>
      <c r="J258">
        <v>1</v>
      </c>
    </row>
    <row r="259" spans="1:10" x14ac:dyDescent="0.45">
      <c r="A259">
        <v>261</v>
      </c>
      <c r="B259" t="s">
        <v>2651</v>
      </c>
      <c r="C259">
        <v>0.16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11</v>
      </c>
      <c r="J259">
        <v>1</v>
      </c>
    </row>
    <row r="260" spans="1:10" x14ac:dyDescent="0.45">
      <c r="A260">
        <v>262</v>
      </c>
      <c r="B260" t="s">
        <v>2652</v>
      </c>
      <c r="C260">
        <v>0.16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11</v>
      </c>
      <c r="J260">
        <v>1</v>
      </c>
    </row>
    <row r="261" spans="1:10" x14ac:dyDescent="0.45">
      <c r="A261">
        <v>263</v>
      </c>
      <c r="B261" t="s">
        <v>2653</v>
      </c>
      <c r="C261">
        <v>0.16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11</v>
      </c>
      <c r="J261">
        <v>1</v>
      </c>
    </row>
    <row r="262" spans="1:10" x14ac:dyDescent="0.45">
      <c r="A262">
        <v>264</v>
      </c>
      <c r="B262" t="s">
        <v>2654</v>
      </c>
      <c r="C262">
        <v>0.16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11</v>
      </c>
      <c r="J262">
        <v>1</v>
      </c>
    </row>
    <row r="263" spans="1:10" x14ac:dyDescent="0.45">
      <c r="A263">
        <v>265</v>
      </c>
      <c r="B263" t="s">
        <v>2655</v>
      </c>
      <c r="C263">
        <v>0.16</v>
      </c>
      <c r="D263">
        <v>0</v>
      </c>
      <c r="E263">
        <v>0</v>
      </c>
      <c r="F263">
        <v>0</v>
      </c>
      <c r="G263">
        <v>0.05</v>
      </c>
      <c r="H263">
        <v>0</v>
      </c>
      <c r="I263">
        <v>11</v>
      </c>
      <c r="J263">
        <v>1</v>
      </c>
    </row>
    <row r="264" spans="1:10" x14ac:dyDescent="0.45">
      <c r="A264">
        <v>266</v>
      </c>
      <c r="B264" t="s">
        <v>2656</v>
      </c>
      <c r="C264">
        <v>0.16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14</v>
      </c>
      <c r="J264">
        <v>1</v>
      </c>
    </row>
    <row r="265" spans="1:10" x14ac:dyDescent="0.45">
      <c r="A265">
        <v>267</v>
      </c>
      <c r="B265" t="s">
        <v>2657</v>
      </c>
      <c r="C265">
        <v>0.16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14</v>
      </c>
      <c r="J265">
        <v>1</v>
      </c>
    </row>
    <row r="266" spans="1:10" x14ac:dyDescent="0.45">
      <c r="A266">
        <v>268</v>
      </c>
      <c r="B266" t="s">
        <v>2658</v>
      </c>
      <c r="C266">
        <v>0.16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14</v>
      </c>
      <c r="J266">
        <v>1</v>
      </c>
    </row>
    <row r="267" spans="1:10" x14ac:dyDescent="0.45">
      <c r="A267">
        <v>269</v>
      </c>
      <c r="B267" t="s">
        <v>2659</v>
      </c>
      <c r="C267">
        <v>0.16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14</v>
      </c>
      <c r="J267">
        <v>1</v>
      </c>
    </row>
    <row r="268" spans="1:10" x14ac:dyDescent="0.45">
      <c r="A268">
        <v>270</v>
      </c>
      <c r="B268" t="s">
        <v>2660</v>
      </c>
      <c r="C268">
        <v>0.16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14</v>
      </c>
      <c r="J268">
        <v>1</v>
      </c>
    </row>
    <row r="269" spans="1:10" x14ac:dyDescent="0.45">
      <c r="A269">
        <v>271</v>
      </c>
      <c r="B269" t="s">
        <v>2661</v>
      </c>
      <c r="C269">
        <v>0.16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14</v>
      </c>
      <c r="J269">
        <v>1</v>
      </c>
    </row>
    <row r="270" spans="1:10" x14ac:dyDescent="0.45">
      <c r="A270">
        <v>272</v>
      </c>
      <c r="B270" t="s">
        <v>2662</v>
      </c>
      <c r="C270">
        <v>0.16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14</v>
      </c>
      <c r="J270">
        <v>1</v>
      </c>
    </row>
    <row r="271" spans="1:10" x14ac:dyDescent="0.45">
      <c r="A271">
        <v>273</v>
      </c>
      <c r="B271" t="s">
        <v>2663</v>
      </c>
      <c r="C271">
        <v>0.16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23</v>
      </c>
      <c r="J271">
        <v>1</v>
      </c>
    </row>
    <row r="272" spans="1:10" x14ac:dyDescent="0.45">
      <c r="A272">
        <v>274</v>
      </c>
      <c r="B272" t="s">
        <v>2664</v>
      </c>
      <c r="C272">
        <v>0.16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23</v>
      </c>
      <c r="J272">
        <v>1</v>
      </c>
    </row>
    <row r="273" spans="1:10" x14ac:dyDescent="0.45">
      <c r="A273">
        <v>275</v>
      </c>
      <c r="B273" t="s">
        <v>2665</v>
      </c>
      <c r="C273">
        <v>0.16</v>
      </c>
      <c r="D273">
        <v>0</v>
      </c>
      <c r="E273">
        <v>0</v>
      </c>
      <c r="F273">
        <v>0</v>
      </c>
      <c r="G273">
        <v>0.2</v>
      </c>
      <c r="H273">
        <v>0</v>
      </c>
      <c r="I273">
        <v>23</v>
      </c>
      <c r="J273">
        <v>1</v>
      </c>
    </row>
    <row r="274" spans="1:10" x14ac:dyDescent="0.45">
      <c r="A274">
        <v>276</v>
      </c>
      <c r="B274" t="s">
        <v>2666</v>
      </c>
      <c r="C274">
        <v>0.16</v>
      </c>
      <c r="D274">
        <v>0</v>
      </c>
      <c r="E274">
        <v>0</v>
      </c>
      <c r="F274">
        <v>0</v>
      </c>
      <c r="G274">
        <v>0.2</v>
      </c>
      <c r="H274">
        <v>0</v>
      </c>
      <c r="I274">
        <v>23</v>
      </c>
      <c r="J274">
        <v>1</v>
      </c>
    </row>
    <row r="275" spans="1:10" x14ac:dyDescent="0.45">
      <c r="A275">
        <v>277</v>
      </c>
      <c r="B275" t="s">
        <v>2667</v>
      </c>
      <c r="C275">
        <v>0.16</v>
      </c>
      <c r="D275">
        <v>0</v>
      </c>
      <c r="E275">
        <v>0</v>
      </c>
      <c r="F275">
        <v>0</v>
      </c>
      <c r="G275">
        <v>0.2</v>
      </c>
      <c r="H275">
        <v>0</v>
      </c>
      <c r="I275">
        <v>9</v>
      </c>
      <c r="J275">
        <v>1</v>
      </c>
    </row>
    <row r="276" spans="1:10" x14ac:dyDescent="0.45">
      <c r="A276">
        <v>278</v>
      </c>
      <c r="B276" t="s">
        <v>2668</v>
      </c>
      <c r="C276">
        <v>0.16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9</v>
      </c>
      <c r="J276">
        <v>1</v>
      </c>
    </row>
    <row r="277" spans="1:10" x14ac:dyDescent="0.45">
      <c r="A277">
        <v>321</v>
      </c>
      <c r="B277" t="s">
        <v>2669</v>
      </c>
      <c r="C277">
        <v>0.16</v>
      </c>
      <c r="D277">
        <v>0</v>
      </c>
      <c r="E277">
        <v>0</v>
      </c>
      <c r="F277">
        <v>0</v>
      </c>
      <c r="G277">
        <v>0.05</v>
      </c>
      <c r="H277">
        <v>0</v>
      </c>
      <c r="I277">
        <v>1</v>
      </c>
      <c r="J277">
        <v>1</v>
      </c>
    </row>
    <row r="278" spans="1:10" x14ac:dyDescent="0.45">
      <c r="A278">
        <v>322</v>
      </c>
      <c r="B278" t="s">
        <v>2670</v>
      </c>
      <c r="C278">
        <v>0.16</v>
      </c>
      <c r="D278">
        <v>0</v>
      </c>
      <c r="E278">
        <v>0</v>
      </c>
      <c r="F278">
        <v>0</v>
      </c>
      <c r="G278">
        <v>0.05</v>
      </c>
      <c r="H278">
        <v>0</v>
      </c>
      <c r="I278">
        <v>1</v>
      </c>
      <c r="J278">
        <v>1</v>
      </c>
    </row>
    <row r="279" spans="1:10" x14ac:dyDescent="0.45">
      <c r="A279">
        <v>323</v>
      </c>
      <c r="B279" t="s">
        <v>2671</v>
      </c>
      <c r="C279">
        <v>0.16</v>
      </c>
      <c r="D279">
        <v>0</v>
      </c>
      <c r="E279">
        <v>0</v>
      </c>
      <c r="F279">
        <v>0</v>
      </c>
      <c r="G279">
        <v>0.05</v>
      </c>
      <c r="H279">
        <v>1</v>
      </c>
      <c r="I279">
        <v>1</v>
      </c>
      <c r="J279">
        <v>1</v>
      </c>
    </row>
    <row r="280" spans="1:10" x14ac:dyDescent="0.45">
      <c r="A280">
        <v>325</v>
      </c>
      <c r="B280" t="s">
        <v>2672</v>
      </c>
      <c r="C280">
        <v>0.16</v>
      </c>
      <c r="D280">
        <v>0</v>
      </c>
      <c r="E280">
        <v>0</v>
      </c>
      <c r="F280">
        <v>0</v>
      </c>
      <c r="G280">
        <v>0.05</v>
      </c>
      <c r="H280">
        <v>0</v>
      </c>
      <c r="I280">
        <v>1</v>
      </c>
      <c r="J280">
        <v>1</v>
      </c>
    </row>
    <row r="281" spans="1:10" x14ac:dyDescent="0.45">
      <c r="A281">
        <v>328</v>
      </c>
      <c r="B281" t="s">
        <v>2673</v>
      </c>
      <c r="C281">
        <v>0.16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</row>
    <row r="282" spans="1:10" x14ac:dyDescent="0.45">
      <c r="A282">
        <v>331</v>
      </c>
      <c r="B282" t="s">
        <v>2674</v>
      </c>
      <c r="C282">
        <v>0.16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</row>
    <row r="283" spans="1:10" x14ac:dyDescent="0.45">
      <c r="A283">
        <v>333</v>
      </c>
      <c r="B283" t="s">
        <v>2675</v>
      </c>
      <c r="C283">
        <v>0.16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7</v>
      </c>
      <c r="J283">
        <v>1</v>
      </c>
    </row>
    <row r="284" spans="1:10" x14ac:dyDescent="0.45">
      <c r="A284">
        <v>334</v>
      </c>
      <c r="B284" t="s">
        <v>2676</v>
      </c>
      <c r="C284">
        <v>0.16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</row>
    <row r="285" spans="1:10" x14ac:dyDescent="0.45">
      <c r="A285">
        <v>335</v>
      </c>
      <c r="B285" t="s">
        <v>2677</v>
      </c>
      <c r="C285">
        <v>0.16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</v>
      </c>
    </row>
    <row r="286" spans="1:10" x14ac:dyDescent="0.45">
      <c r="A286">
        <v>336</v>
      </c>
      <c r="B286" t="s">
        <v>2678</v>
      </c>
      <c r="C286">
        <v>0.16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21</v>
      </c>
      <c r="J286">
        <v>1</v>
      </c>
    </row>
    <row r="287" spans="1:10" x14ac:dyDescent="0.45">
      <c r="A287">
        <v>337</v>
      </c>
      <c r="B287" t="s">
        <v>2679</v>
      </c>
      <c r="C287">
        <v>0.16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21</v>
      </c>
      <c r="J287">
        <v>1</v>
      </c>
    </row>
    <row r="288" spans="1:10" x14ac:dyDescent="0.45">
      <c r="A288">
        <v>338</v>
      </c>
      <c r="B288" t="s">
        <v>2680</v>
      </c>
      <c r="C288">
        <v>0.16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21</v>
      </c>
      <c r="J288">
        <v>1</v>
      </c>
    </row>
    <row r="289" spans="1:10" x14ac:dyDescent="0.45">
      <c r="A289">
        <v>339</v>
      </c>
      <c r="B289" t="s">
        <v>2681</v>
      </c>
      <c r="C289">
        <v>0.16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14</v>
      </c>
      <c r="J289">
        <v>1</v>
      </c>
    </row>
    <row r="290" spans="1:10" x14ac:dyDescent="0.45">
      <c r="A290">
        <v>340</v>
      </c>
      <c r="B290" t="s">
        <v>2682</v>
      </c>
      <c r="C290">
        <v>0.16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14</v>
      </c>
      <c r="J290">
        <v>1</v>
      </c>
    </row>
    <row r="291" spans="1:10" x14ac:dyDescent="0.45">
      <c r="A291">
        <v>341</v>
      </c>
      <c r="B291" t="s">
        <v>2683</v>
      </c>
      <c r="C291">
        <v>0.16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12</v>
      </c>
      <c r="J291">
        <v>1</v>
      </c>
    </row>
    <row r="292" spans="1:10" x14ac:dyDescent="0.45">
      <c r="A292">
        <v>342</v>
      </c>
      <c r="B292" t="s">
        <v>2684</v>
      </c>
      <c r="C292">
        <v>0.16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12</v>
      </c>
      <c r="J292">
        <v>1</v>
      </c>
    </row>
    <row r="293" spans="1:10" x14ac:dyDescent="0.45">
      <c r="A293">
        <v>344</v>
      </c>
      <c r="B293" t="s">
        <v>2685</v>
      </c>
      <c r="C293">
        <v>0.16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21</v>
      </c>
      <c r="J293">
        <v>1</v>
      </c>
    </row>
    <row r="294" spans="1:10" x14ac:dyDescent="0.45">
      <c r="A294">
        <v>345</v>
      </c>
      <c r="B294" t="s">
        <v>2686</v>
      </c>
      <c r="C294">
        <v>0.16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21</v>
      </c>
      <c r="J294">
        <v>1</v>
      </c>
    </row>
    <row r="295" spans="1:10" x14ac:dyDescent="0.45">
      <c r="A295">
        <v>346</v>
      </c>
      <c r="B295" t="s">
        <v>2687</v>
      </c>
      <c r="C295">
        <v>0.16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21</v>
      </c>
      <c r="J295">
        <v>1</v>
      </c>
    </row>
    <row r="296" spans="1:10" x14ac:dyDescent="0.45">
      <c r="A296">
        <v>347</v>
      </c>
      <c r="B296" t="s">
        <v>2688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21</v>
      </c>
      <c r="J296">
        <v>1</v>
      </c>
    </row>
    <row r="297" spans="1:10" x14ac:dyDescent="0.45">
      <c r="A297">
        <v>348</v>
      </c>
      <c r="B297" t="s">
        <v>2689</v>
      </c>
      <c r="C297">
        <v>0.16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21</v>
      </c>
      <c r="J297">
        <v>1</v>
      </c>
    </row>
    <row r="298" spans="1:10" x14ac:dyDescent="0.45">
      <c r="A298">
        <v>349</v>
      </c>
      <c r="B298" t="s">
        <v>2690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21</v>
      </c>
      <c r="J298">
        <v>1</v>
      </c>
    </row>
    <row r="299" spans="1:10" x14ac:dyDescent="0.45">
      <c r="A299">
        <v>350</v>
      </c>
      <c r="B299" t="s">
        <v>2691</v>
      </c>
      <c r="C299">
        <v>0.16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21</v>
      </c>
      <c r="J299">
        <v>1</v>
      </c>
    </row>
    <row r="300" spans="1:10" x14ac:dyDescent="0.45">
      <c r="A300">
        <v>351</v>
      </c>
      <c r="B300" t="s">
        <v>2692</v>
      </c>
      <c r="C300">
        <v>0.16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21</v>
      </c>
      <c r="J300">
        <v>1</v>
      </c>
    </row>
    <row r="301" spans="1:10" x14ac:dyDescent="0.45">
      <c r="A301">
        <v>352</v>
      </c>
      <c r="B301" t="s">
        <v>2693</v>
      </c>
      <c r="C301">
        <v>0.16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21</v>
      </c>
      <c r="J301">
        <v>1</v>
      </c>
    </row>
    <row r="302" spans="1:10" x14ac:dyDescent="0.45">
      <c r="A302">
        <v>353</v>
      </c>
      <c r="B302" t="s">
        <v>2694</v>
      </c>
      <c r="C302">
        <v>0.16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21</v>
      </c>
      <c r="J302">
        <v>1</v>
      </c>
    </row>
    <row r="303" spans="1:10" x14ac:dyDescent="0.45">
      <c r="A303">
        <v>354</v>
      </c>
      <c r="B303" t="s">
        <v>2695</v>
      </c>
      <c r="C303">
        <v>0.16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21</v>
      </c>
      <c r="J303">
        <v>1</v>
      </c>
    </row>
    <row r="304" spans="1:10" x14ac:dyDescent="0.45">
      <c r="A304">
        <v>355</v>
      </c>
      <c r="B304" t="s">
        <v>2696</v>
      </c>
      <c r="C304">
        <v>0.16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21</v>
      </c>
      <c r="J304">
        <v>1</v>
      </c>
    </row>
    <row r="305" spans="1:10" x14ac:dyDescent="0.45">
      <c r="A305">
        <v>357</v>
      </c>
      <c r="B305" t="s">
        <v>2697</v>
      </c>
      <c r="C305">
        <v>0.16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7</v>
      </c>
      <c r="J305">
        <v>1</v>
      </c>
    </row>
    <row r="306" spans="1:10" x14ac:dyDescent="0.45">
      <c r="A306">
        <v>358</v>
      </c>
      <c r="B306" t="s">
        <v>2698</v>
      </c>
      <c r="C306">
        <v>0.16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7</v>
      </c>
      <c r="J306">
        <v>1</v>
      </c>
    </row>
    <row r="307" spans="1:10" x14ac:dyDescent="0.45">
      <c r="A307">
        <v>359</v>
      </c>
      <c r="B307" t="s">
        <v>2699</v>
      </c>
      <c r="C307">
        <v>0.16</v>
      </c>
      <c r="D307">
        <v>0</v>
      </c>
      <c r="E307">
        <v>0</v>
      </c>
      <c r="F307">
        <v>0</v>
      </c>
      <c r="G307">
        <v>0.05</v>
      </c>
      <c r="H307">
        <v>0</v>
      </c>
      <c r="I307">
        <v>21</v>
      </c>
      <c r="J307">
        <v>1</v>
      </c>
    </row>
    <row r="308" spans="1:10" x14ac:dyDescent="0.45">
      <c r="A308">
        <v>360</v>
      </c>
      <c r="B308" t="s">
        <v>2700</v>
      </c>
      <c r="C308">
        <v>0.16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21</v>
      </c>
      <c r="J308">
        <v>1</v>
      </c>
    </row>
    <row r="309" spans="1:10" x14ac:dyDescent="0.45">
      <c r="A309">
        <v>361</v>
      </c>
      <c r="B309" t="s">
        <v>2701</v>
      </c>
      <c r="C309">
        <v>0.16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21</v>
      </c>
      <c r="J309">
        <v>1</v>
      </c>
    </row>
    <row r="310" spans="1:10" x14ac:dyDescent="0.45">
      <c r="A310">
        <v>362</v>
      </c>
      <c r="B310" t="s">
        <v>2702</v>
      </c>
      <c r="C310">
        <v>0.16</v>
      </c>
      <c r="D310">
        <v>0</v>
      </c>
      <c r="E310">
        <v>0</v>
      </c>
      <c r="F310">
        <v>0</v>
      </c>
      <c r="G310">
        <v>0.2</v>
      </c>
      <c r="H310">
        <v>1</v>
      </c>
      <c r="I310">
        <v>21</v>
      </c>
      <c r="J310">
        <v>1</v>
      </c>
    </row>
    <row r="311" spans="1:10" x14ac:dyDescent="0.45">
      <c r="A311">
        <v>363</v>
      </c>
      <c r="B311" t="s">
        <v>2703</v>
      </c>
      <c r="C311">
        <v>0.16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21</v>
      </c>
      <c r="J311">
        <v>1</v>
      </c>
    </row>
    <row r="312" spans="1:10" x14ac:dyDescent="0.45">
      <c r="A312">
        <v>364</v>
      </c>
      <c r="B312" t="s">
        <v>2704</v>
      </c>
      <c r="C312">
        <v>0.16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</v>
      </c>
      <c r="J312">
        <v>1</v>
      </c>
    </row>
    <row r="313" spans="1:10" x14ac:dyDescent="0.45">
      <c r="A313">
        <v>366</v>
      </c>
      <c r="B313" t="s">
        <v>2705</v>
      </c>
      <c r="C313">
        <v>0.16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14</v>
      </c>
      <c r="J313">
        <v>1</v>
      </c>
    </row>
    <row r="314" spans="1:10" x14ac:dyDescent="0.45">
      <c r="A314">
        <v>367</v>
      </c>
      <c r="B314" t="s">
        <v>2706</v>
      </c>
      <c r="C314">
        <v>0.16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14</v>
      </c>
      <c r="J314">
        <v>1</v>
      </c>
    </row>
    <row r="315" spans="1:10" x14ac:dyDescent="0.45">
      <c r="A315">
        <v>368</v>
      </c>
      <c r="B315" t="s">
        <v>2707</v>
      </c>
      <c r="C315">
        <v>0.16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14</v>
      </c>
      <c r="J315">
        <v>1</v>
      </c>
    </row>
    <row r="316" spans="1:10" x14ac:dyDescent="0.45">
      <c r="A316">
        <v>369</v>
      </c>
      <c r="B316" t="s">
        <v>2708</v>
      </c>
      <c r="C316">
        <v>0.16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14</v>
      </c>
      <c r="J316">
        <v>1</v>
      </c>
    </row>
    <row r="317" spans="1:10" x14ac:dyDescent="0.45">
      <c r="A317">
        <v>370</v>
      </c>
      <c r="B317" t="s">
        <v>2709</v>
      </c>
      <c r="C317">
        <v>0.16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14</v>
      </c>
      <c r="J317">
        <v>1</v>
      </c>
    </row>
    <row r="318" spans="1:10" x14ac:dyDescent="0.45">
      <c r="A318">
        <v>371</v>
      </c>
      <c r="B318" t="s">
        <v>2710</v>
      </c>
      <c r="C318">
        <v>0.16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14</v>
      </c>
      <c r="J318">
        <v>1</v>
      </c>
    </row>
    <row r="319" spans="1:10" x14ac:dyDescent="0.45">
      <c r="A319">
        <v>372</v>
      </c>
      <c r="B319" t="s">
        <v>2711</v>
      </c>
      <c r="C319">
        <v>0.16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7</v>
      </c>
      <c r="J319">
        <v>1</v>
      </c>
    </row>
    <row r="320" spans="1:10" x14ac:dyDescent="0.45">
      <c r="A320">
        <v>373</v>
      </c>
      <c r="B320" t="s">
        <v>2712</v>
      </c>
      <c r="C320">
        <v>0.16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9</v>
      </c>
      <c r="J320">
        <v>1</v>
      </c>
    </row>
    <row r="321" spans="1:10" x14ac:dyDescent="0.45">
      <c r="A321">
        <v>374</v>
      </c>
      <c r="B321" t="s">
        <v>2713</v>
      </c>
      <c r="C321">
        <v>0.16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9</v>
      </c>
      <c r="J321">
        <v>1</v>
      </c>
    </row>
    <row r="322" spans="1:10" x14ac:dyDescent="0.45">
      <c r="A322">
        <v>375</v>
      </c>
      <c r="B322" t="s">
        <v>2714</v>
      </c>
      <c r="C322">
        <v>0.16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9</v>
      </c>
      <c r="J322">
        <v>1</v>
      </c>
    </row>
    <row r="323" spans="1:10" x14ac:dyDescent="0.45">
      <c r="A323">
        <v>376</v>
      </c>
      <c r="B323" t="s">
        <v>2715</v>
      </c>
      <c r="C323">
        <v>0.16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8</v>
      </c>
      <c r="J323">
        <v>1</v>
      </c>
    </row>
    <row r="324" spans="1:10" x14ac:dyDescent="0.45">
      <c r="A324">
        <v>377</v>
      </c>
      <c r="B324" t="s">
        <v>2716</v>
      </c>
      <c r="C324">
        <v>0.16</v>
      </c>
      <c r="D324">
        <v>0</v>
      </c>
      <c r="E324">
        <v>0</v>
      </c>
      <c r="F324">
        <v>0</v>
      </c>
      <c r="G324">
        <v>0.2</v>
      </c>
      <c r="H324">
        <v>0</v>
      </c>
      <c r="I324">
        <v>7</v>
      </c>
      <c r="J324">
        <v>1</v>
      </c>
    </row>
    <row r="325" spans="1:10" x14ac:dyDescent="0.45">
      <c r="A325">
        <v>378</v>
      </c>
      <c r="B325" t="s">
        <v>2717</v>
      </c>
      <c r="C325">
        <v>0.16</v>
      </c>
      <c r="D325">
        <v>0</v>
      </c>
      <c r="E325">
        <v>0</v>
      </c>
      <c r="F325">
        <v>0</v>
      </c>
      <c r="G325">
        <v>0.2</v>
      </c>
      <c r="H325">
        <v>0</v>
      </c>
      <c r="I325">
        <v>8</v>
      </c>
      <c r="J325">
        <v>1</v>
      </c>
    </row>
    <row r="326" spans="1:10" x14ac:dyDescent="0.45">
      <c r="A326">
        <v>379</v>
      </c>
      <c r="B326" t="s">
        <v>2718</v>
      </c>
      <c r="C326">
        <v>0.16</v>
      </c>
      <c r="D326">
        <v>0</v>
      </c>
      <c r="E326">
        <v>0</v>
      </c>
      <c r="F326">
        <v>0</v>
      </c>
      <c r="G326">
        <v>0.2</v>
      </c>
      <c r="H326">
        <v>0</v>
      </c>
      <c r="I326">
        <v>13</v>
      </c>
      <c r="J326">
        <v>1</v>
      </c>
    </row>
    <row r="327" spans="1:10" x14ac:dyDescent="0.45">
      <c r="A327">
        <v>380</v>
      </c>
      <c r="B327" t="s">
        <v>2719</v>
      </c>
      <c r="C327">
        <v>0.16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12</v>
      </c>
      <c r="J327">
        <v>1</v>
      </c>
    </row>
    <row r="328" spans="1:10" x14ac:dyDescent="0.45">
      <c r="A328">
        <v>412</v>
      </c>
      <c r="B328" t="s">
        <v>2720</v>
      </c>
      <c r="C328">
        <v>0.16</v>
      </c>
      <c r="D328">
        <v>0</v>
      </c>
      <c r="E328">
        <v>0</v>
      </c>
      <c r="F328">
        <v>0</v>
      </c>
      <c r="G328">
        <v>0.2</v>
      </c>
      <c r="H328">
        <v>0</v>
      </c>
      <c r="I328">
        <v>1</v>
      </c>
      <c r="J328">
        <v>1</v>
      </c>
    </row>
    <row r="329" spans="1:10" x14ac:dyDescent="0.45">
      <c r="A329">
        <v>419</v>
      </c>
      <c r="B329" t="s">
        <v>2721</v>
      </c>
      <c r="C329">
        <v>0</v>
      </c>
      <c r="D329">
        <v>1</v>
      </c>
      <c r="E329">
        <v>0</v>
      </c>
      <c r="F329">
        <v>0</v>
      </c>
      <c r="G329">
        <v>0.2</v>
      </c>
      <c r="H329">
        <v>0</v>
      </c>
      <c r="I329">
        <v>7</v>
      </c>
      <c r="J329">
        <v>1</v>
      </c>
    </row>
    <row r="330" spans="1:10" x14ac:dyDescent="0.45">
      <c r="A330">
        <v>420</v>
      </c>
      <c r="B330" t="s">
        <v>2722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7</v>
      </c>
      <c r="J330">
        <v>1</v>
      </c>
    </row>
    <row r="331" spans="1:10" x14ac:dyDescent="0.45">
      <c r="A331">
        <v>421</v>
      </c>
      <c r="B331" t="s">
        <v>2723</v>
      </c>
      <c r="C331">
        <v>0</v>
      </c>
      <c r="D331">
        <v>1</v>
      </c>
      <c r="E331">
        <v>0</v>
      </c>
      <c r="F331">
        <v>0</v>
      </c>
      <c r="G331">
        <v>0.2</v>
      </c>
      <c r="H331">
        <v>0</v>
      </c>
      <c r="I331">
        <v>7</v>
      </c>
      <c r="J331">
        <v>1</v>
      </c>
    </row>
    <row r="332" spans="1:10" x14ac:dyDescent="0.45">
      <c r="A332">
        <v>422</v>
      </c>
      <c r="B332" t="s">
        <v>2623</v>
      </c>
      <c r="C332">
        <v>0</v>
      </c>
      <c r="D332">
        <v>1</v>
      </c>
      <c r="E332">
        <v>0</v>
      </c>
      <c r="F332">
        <v>0</v>
      </c>
      <c r="G332">
        <v>0.2</v>
      </c>
      <c r="H332">
        <v>0</v>
      </c>
      <c r="I332">
        <v>7</v>
      </c>
      <c r="J332">
        <v>1</v>
      </c>
    </row>
    <row r="333" spans="1:10" x14ac:dyDescent="0.45">
      <c r="A333">
        <v>423</v>
      </c>
      <c r="B333" t="s">
        <v>2724</v>
      </c>
      <c r="C333">
        <v>0.16</v>
      </c>
      <c r="D333">
        <v>0</v>
      </c>
      <c r="E333">
        <v>0</v>
      </c>
      <c r="F333">
        <v>0</v>
      </c>
      <c r="G333">
        <v>0.2</v>
      </c>
      <c r="H333">
        <v>0</v>
      </c>
      <c r="I333">
        <v>7</v>
      </c>
      <c r="J333">
        <v>1</v>
      </c>
    </row>
    <row r="334" spans="1:10" x14ac:dyDescent="0.45">
      <c r="A334">
        <v>424</v>
      </c>
      <c r="B334" t="s">
        <v>2725</v>
      </c>
      <c r="C334">
        <v>0.16</v>
      </c>
      <c r="D334">
        <v>0</v>
      </c>
      <c r="E334">
        <v>0</v>
      </c>
      <c r="F334">
        <v>0</v>
      </c>
      <c r="G334">
        <v>0.2</v>
      </c>
      <c r="H334">
        <v>1</v>
      </c>
      <c r="I334">
        <v>7</v>
      </c>
      <c r="J334">
        <v>1</v>
      </c>
    </row>
    <row r="335" spans="1:10" x14ac:dyDescent="0.45">
      <c r="A335">
        <v>425</v>
      </c>
      <c r="B335" t="s">
        <v>2726</v>
      </c>
      <c r="C335">
        <v>0.16</v>
      </c>
      <c r="D335">
        <v>0</v>
      </c>
      <c r="E335">
        <v>0</v>
      </c>
      <c r="F335">
        <v>0</v>
      </c>
      <c r="G335">
        <v>0.2</v>
      </c>
      <c r="H335">
        <v>0</v>
      </c>
      <c r="I335">
        <v>7</v>
      </c>
      <c r="J335">
        <v>1</v>
      </c>
    </row>
    <row r="336" spans="1:10" x14ac:dyDescent="0.45">
      <c r="A336">
        <v>426</v>
      </c>
      <c r="B336" t="s">
        <v>2727</v>
      </c>
      <c r="C336">
        <v>0.16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7</v>
      </c>
      <c r="J336">
        <v>1</v>
      </c>
    </row>
    <row r="337" spans="1:10" x14ac:dyDescent="0.45">
      <c r="A337">
        <v>427</v>
      </c>
      <c r="B337" t="s">
        <v>2728</v>
      </c>
      <c r="C337">
        <v>0.16</v>
      </c>
      <c r="D337">
        <v>0</v>
      </c>
      <c r="E337">
        <v>0</v>
      </c>
      <c r="F337">
        <v>0</v>
      </c>
      <c r="G337">
        <v>0.2</v>
      </c>
      <c r="H337">
        <v>0</v>
      </c>
      <c r="I337">
        <v>7</v>
      </c>
      <c r="J337">
        <v>1</v>
      </c>
    </row>
    <row r="338" spans="1:10" x14ac:dyDescent="0.45">
      <c r="A338">
        <v>428</v>
      </c>
      <c r="B338" t="s">
        <v>2729</v>
      </c>
      <c r="C338">
        <v>0.16</v>
      </c>
      <c r="D338">
        <v>0</v>
      </c>
      <c r="E338">
        <v>0</v>
      </c>
      <c r="F338">
        <v>0</v>
      </c>
      <c r="G338">
        <v>0.2</v>
      </c>
      <c r="H338">
        <v>0</v>
      </c>
      <c r="I338">
        <v>7</v>
      </c>
      <c r="J338">
        <v>1</v>
      </c>
    </row>
    <row r="339" spans="1:10" x14ac:dyDescent="0.45">
      <c r="A339">
        <v>429</v>
      </c>
      <c r="B339" t="s">
        <v>2730</v>
      </c>
      <c r="C339">
        <v>0.16</v>
      </c>
      <c r="D339">
        <v>0</v>
      </c>
      <c r="E339">
        <v>0</v>
      </c>
      <c r="F339">
        <v>0</v>
      </c>
      <c r="G339">
        <v>0.2</v>
      </c>
      <c r="H339">
        <v>0</v>
      </c>
      <c r="I339">
        <v>10</v>
      </c>
      <c r="J339">
        <v>1</v>
      </c>
    </row>
    <row r="340" spans="1:10" x14ac:dyDescent="0.45">
      <c r="A340">
        <v>430</v>
      </c>
      <c r="B340" t="s">
        <v>2731</v>
      </c>
      <c r="C340">
        <v>0.16</v>
      </c>
      <c r="D340">
        <v>0</v>
      </c>
      <c r="E340">
        <v>0</v>
      </c>
      <c r="F340">
        <v>0</v>
      </c>
      <c r="G340">
        <v>0.2</v>
      </c>
      <c r="H340">
        <v>0</v>
      </c>
      <c r="I340">
        <v>10</v>
      </c>
      <c r="J340">
        <v>1</v>
      </c>
    </row>
    <row r="341" spans="1:10" x14ac:dyDescent="0.45">
      <c r="A341">
        <v>431</v>
      </c>
      <c r="B341" t="s">
        <v>2732</v>
      </c>
      <c r="C341">
        <v>0.16</v>
      </c>
      <c r="D341">
        <v>0</v>
      </c>
      <c r="E341">
        <v>0</v>
      </c>
      <c r="F341">
        <v>0</v>
      </c>
      <c r="G341">
        <v>0.2</v>
      </c>
      <c r="H341">
        <v>0</v>
      </c>
      <c r="I341">
        <v>10</v>
      </c>
      <c r="J341">
        <v>1</v>
      </c>
    </row>
    <row r="342" spans="1:10" x14ac:dyDescent="0.45">
      <c r="A342">
        <v>432</v>
      </c>
      <c r="B342" t="s">
        <v>2733</v>
      </c>
      <c r="C342">
        <v>0.16</v>
      </c>
      <c r="D342">
        <v>0</v>
      </c>
      <c r="E342">
        <v>0</v>
      </c>
      <c r="F342">
        <v>0</v>
      </c>
      <c r="G342">
        <v>0.2</v>
      </c>
      <c r="H342">
        <v>0</v>
      </c>
      <c r="I342">
        <v>10</v>
      </c>
      <c r="J342">
        <v>1</v>
      </c>
    </row>
    <row r="343" spans="1:10" x14ac:dyDescent="0.45">
      <c r="A343">
        <v>433</v>
      </c>
      <c r="B343" t="s">
        <v>2734</v>
      </c>
      <c r="C343">
        <v>0.16</v>
      </c>
      <c r="D343">
        <v>0</v>
      </c>
      <c r="E343">
        <v>0</v>
      </c>
      <c r="F343">
        <v>0</v>
      </c>
      <c r="G343">
        <v>0.2</v>
      </c>
      <c r="H343">
        <v>0</v>
      </c>
      <c r="I343">
        <v>7</v>
      </c>
      <c r="J343">
        <v>1</v>
      </c>
    </row>
    <row r="344" spans="1:10" x14ac:dyDescent="0.45">
      <c r="A344">
        <v>434</v>
      </c>
      <c r="B344" t="s">
        <v>2735</v>
      </c>
      <c r="C344">
        <v>0.16</v>
      </c>
      <c r="D344">
        <v>0</v>
      </c>
      <c r="E344">
        <v>0</v>
      </c>
      <c r="F344">
        <v>0</v>
      </c>
      <c r="G344">
        <v>0.2</v>
      </c>
      <c r="H344">
        <v>0</v>
      </c>
      <c r="I344">
        <v>7</v>
      </c>
      <c r="J344">
        <v>1</v>
      </c>
    </row>
    <row r="345" spans="1:10" x14ac:dyDescent="0.45">
      <c r="A345">
        <v>435</v>
      </c>
      <c r="B345" t="s">
        <v>2736</v>
      </c>
      <c r="C345">
        <v>0.16</v>
      </c>
      <c r="D345">
        <v>0</v>
      </c>
      <c r="E345">
        <v>0</v>
      </c>
      <c r="F345">
        <v>0</v>
      </c>
      <c r="G345">
        <v>0.2</v>
      </c>
      <c r="H345">
        <v>0</v>
      </c>
      <c r="I345">
        <v>10</v>
      </c>
      <c r="J345">
        <v>1</v>
      </c>
    </row>
    <row r="346" spans="1:10" x14ac:dyDescent="0.45">
      <c r="A346">
        <v>436</v>
      </c>
      <c r="B346" t="s">
        <v>2737</v>
      </c>
      <c r="C346">
        <v>0.16</v>
      </c>
      <c r="D346">
        <v>0</v>
      </c>
      <c r="E346">
        <v>0</v>
      </c>
      <c r="F346">
        <v>0</v>
      </c>
      <c r="G346">
        <v>0.2</v>
      </c>
      <c r="H346">
        <v>0</v>
      </c>
      <c r="I346">
        <v>10</v>
      </c>
      <c r="J346">
        <v>1</v>
      </c>
    </row>
    <row r="347" spans="1:10" x14ac:dyDescent="0.45">
      <c r="A347">
        <v>437</v>
      </c>
      <c r="B347" t="s">
        <v>2738</v>
      </c>
      <c r="C347">
        <v>0.16</v>
      </c>
      <c r="D347">
        <v>0</v>
      </c>
      <c r="E347">
        <v>0</v>
      </c>
      <c r="F347">
        <v>0</v>
      </c>
      <c r="G347">
        <v>0.2</v>
      </c>
      <c r="H347">
        <v>0</v>
      </c>
      <c r="I347">
        <v>10</v>
      </c>
      <c r="J347">
        <v>1</v>
      </c>
    </row>
    <row r="348" spans="1:10" x14ac:dyDescent="0.45">
      <c r="A348">
        <v>438</v>
      </c>
      <c r="B348" t="s">
        <v>2739</v>
      </c>
      <c r="C348">
        <v>0.16</v>
      </c>
      <c r="D348">
        <v>0</v>
      </c>
      <c r="E348">
        <v>0</v>
      </c>
      <c r="F348">
        <v>0</v>
      </c>
      <c r="G348">
        <v>0.2</v>
      </c>
      <c r="H348">
        <v>0</v>
      </c>
      <c r="I348">
        <v>10</v>
      </c>
      <c r="J348">
        <v>1</v>
      </c>
    </row>
    <row r="349" spans="1:10" x14ac:dyDescent="0.45">
      <c r="A349">
        <v>439</v>
      </c>
      <c r="B349" t="s">
        <v>2740</v>
      </c>
      <c r="C349">
        <v>0.16</v>
      </c>
      <c r="D349">
        <v>0</v>
      </c>
      <c r="E349">
        <v>0</v>
      </c>
      <c r="F349">
        <v>0</v>
      </c>
      <c r="G349">
        <v>0.2</v>
      </c>
      <c r="H349">
        <v>1</v>
      </c>
      <c r="I349">
        <v>10</v>
      </c>
      <c r="J349">
        <v>1</v>
      </c>
    </row>
    <row r="350" spans="1:10" x14ac:dyDescent="0.45">
      <c r="A350">
        <v>440</v>
      </c>
      <c r="B350" t="s">
        <v>2741</v>
      </c>
      <c r="C350">
        <v>0.16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10</v>
      </c>
      <c r="J350">
        <v>1</v>
      </c>
    </row>
    <row r="351" spans="1:10" x14ac:dyDescent="0.45">
      <c r="A351">
        <v>441</v>
      </c>
      <c r="B351" t="s">
        <v>2742</v>
      </c>
      <c r="C351">
        <v>0.16</v>
      </c>
      <c r="D351">
        <v>0</v>
      </c>
      <c r="E351">
        <v>0</v>
      </c>
      <c r="F351">
        <v>0</v>
      </c>
      <c r="G351">
        <v>0.2</v>
      </c>
      <c r="H351">
        <v>0</v>
      </c>
      <c r="I351">
        <v>7</v>
      </c>
      <c r="J351">
        <v>1</v>
      </c>
    </row>
    <row r="352" spans="1:10" x14ac:dyDescent="0.45">
      <c r="A352">
        <v>442</v>
      </c>
      <c r="B352" t="s">
        <v>2743</v>
      </c>
      <c r="C352">
        <v>0.16</v>
      </c>
      <c r="D352">
        <v>0</v>
      </c>
      <c r="E352">
        <v>0</v>
      </c>
      <c r="F352">
        <v>0</v>
      </c>
      <c r="G352">
        <v>0.2</v>
      </c>
      <c r="H352">
        <v>0</v>
      </c>
      <c r="I352">
        <v>7</v>
      </c>
      <c r="J352">
        <v>1</v>
      </c>
    </row>
    <row r="353" spans="1:10" x14ac:dyDescent="0.45">
      <c r="A353">
        <v>443</v>
      </c>
      <c r="B353" t="s">
        <v>1313</v>
      </c>
      <c r="C353">
        <v>0.16</v>
      </c>
      <c r="D353">
        <v>0</v>
      </c>
      <c r="E353">
        <v>0</v>
      </c>
      <c r="F353">
        <v>0</v>
      </c>
      <c r="G353">
        <v>0.13</v>
      </c>
      <c r="H353">
        <v>1</v>
      </c>
      <c r="I353">
        <v>7</v>
      </c>
      <c r="J353">
        <v>1</v>
      </c>
    </row>
    <row r="354" spans="1:10" x14ac:dyDescent="0.45">
      <c r="A354">
        <v>444</v>
      </c>
      <c r="B354" t="s">
        <v>2744</v>
      </c>
      <c r="C354">
        <v>0.16</v>
      </c>
      <c r="D354">
        <v>0</v>
      </c>
      <c r="E354">
        <v>0</v>
      </c>
      <c r="F354">
        <v>0</v>
      </c>
      <c r="G354">
        <v>0.2</v>
      </c>
      <c r="H354">
        <v>1</v>
      </c>
      <c r="I354">
        <v>7</v>
      </c>
      <c r="J354">
        <v>1</v>
      </c>
    </row>
    <row r="355" spans="1:10" x14ac:dyDescent="0.45">
      <c r="A355">
        <v>445</v>
      </c>
      <c r="B355" t="s">
        <v>2745</v>
      </c>
      <c r="C355">
        <v>0.16</v>
      </c>
      <c r="D355">
        <v>0</v>
      </c>
      <c r="E355">
        <v>0</v>
      </c>
      <c r="F355">
        <v>0</v>
      </c>
      <c r="G355">
        <v>0.2</v>
      </c>
      <c r="H355">
        <v>1</v>
      </c>
      <c r="I355">
        <v>7</v>
      </c>
      <c r="J355">
        <v>1</v>
      </c>
    </row>
    <row r="356" spans="1:10" x14ac:dyDescent="0.45">
      <c r="A356">
        <v>446</v>
      </c>
      <c r="B356" t="s">
        <v>2746</v>
      </c>
      <c r="C356">
        <v>0.16</v>
      </c>
      <c r="D356">
        <v>0</v>
      </c>
      <c r="E356">
        <v>0</v>
      </c>
      <c r="F356">
        <v>0</v>
      </c>
      <c r="G356">
        <v>0.2</v>
      </c>
      <c r="H356">
        <v>1</v>
      </c>
      <c r="I356">
        <v>7</v>
      </c>
      <c r="J356">
        <v>1</v>
      </c>
    </row>
    <row r="357" spans="1:10" x14ac:dyDescent="0.45">
      <c r="A357">
        <v>447</v>
      </c>
      <c r="B357" t="s">
        <v>2747</v>
      </c>
      <c r="C357">
        <v>0.16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  <c r="J357">
        <v>1</v>
      </c>
    </row>
    <row r="358" spans="1:10" x14ac:dyDescent="0.45">
      <c r="A358">
        <v>448</v>
      </c>
      <c r="B358" t="s">
        <v>2748</v>
      </c>
      <c r="C358">
        <v>0.18</v>
      </c>
      <c r="D358">
        <v>0</v>
      </c>
      <c r="E358">
        <v>0</v>
      </c>
      <c r="F358">
        <v>0</v>
      </c>
      <c r="G358">
        <v>0.2</v>
      </c>
      <c r="H358">
        <v>0</v>
      </c>
      <c r="I358">
        <v>7</v>
      </c>
      <c r="J358">
        <v>1</v>
      </c>
    </row>
    <row r="359" spans="1:10" x14ac:dyDescent="0.45">
      <c r="A359">
        <v>449</v>
      </c>
      <c r="B359" t="s">
        <v>2749</v>
      </c>
      <c r="C359">
        <v>0.18</v>
      </c>
      <c r="D359">
        <v>0</v>
      </c>
      <c r="E359">
        <v>0</v>
      </c>
      <c r="F359">
        <v>0</v>
      </c>
      <c r="G359">
        <v>0.2</v>
      </c>
      <c r="H359">
        <v>0</v>
      </c>
      <c r="I359">
        <v>7</v>
      </c>
      <c r="J359">
        <v>1</v>
      </c>
    </row>
    <row r="360" spans="1:10" x14ac:dyDescent="0.45">
      <c r="A360">
        <v>450</v>
      </c>
      <c r="B360" t="s">
        <v>2750</v>
      </c>
      <c r="C360">
        <v>0.18</v>
      </c>
      <c r="D360">
        <v>0</v>
      </c>
      <c r="E360">
        <v>0</v>
      </c>
      <c r="F360">
        <v>0</v>
      </c>
      <c r="G360">
        <v>0.2</v>
      </c>
      <c r="H360">
        <v>0</v>
      </c>
      <c r="I360">
        <v>7</v>
      </c>
      <c r="J360">
        <v>1</v>
      </c>
    </row>
    <row r="361" spans="1:10" x14ac:dyDescent="0.45">
      <c r="A361">
        <v>451</v>
      </c>
      <c r="B361" t="s">
        <v>2751</v>
      </c>
      <c r="C361">
        <v>0.18</v>
      </c>
      <c r="D361">
        <v>0</v>
      </c>
      <c r="E361">
        <v>0</v>
      </c>
      <c r="F361">
        <v>0</v>
      </c>
      <c r="G361">
        <v>0.2</v>
      </c>
      <c r="H361">
        <v>0</v>
      </c>
      <c r="I361">
        <v>7</v>
      </c>
      <c r="J361">
        <v>1</v>
      </c>
    </row>
    <row r="362" spans="1:10" x14ac:dyDescent="0.45">
      <c r="A362">
        <v>452</v>
      </c>
      <c r="B362" t="s">
        <v>2752</v>
      </c>
      <c r="C362">
        <v>0.16</v>
      </c>
      <c r="D362">
        <v>0</v>
      </c>
      <c r="E362">
        <v>0</v>
      </c>
      <c r="F362">
        <v>0</v>
      </c>
      <c r="G362">
        <v>0.05</v>
      </c>
      <c r="H362">
        <v>0</v>
      </c>
      <c r="I362">
        <v>14</v>
      </c>
      <c r="J362">
        <v>1</v>
      </c>
    </row>
    <row r="363" spans="1:10" x14ac:dyDescent="0.45">
      <c r="A363">
        <v>453</v>
      </c>
      <c r="B363" t="s">
        <v>2753</v>
      </c>
      <c r="C363">
        <v>0.16</v>
      </c>
      <c r="D363">
        <v>0</v>
      </c>
      <c r="E363">
        <v>0</v>
      </c>
      <c r="F363">
        <v>0</v>
      </c>
      <c r="G363">
        <v>0.2</v>
      </c>
      <c r="H363">
        <v>0</v>
      </c>
      <c r="I363">
        <v>7</v>
      </c>
      <c r="J363">
        <v>1</v>
      </c>
    </row>
    <row r="364" spans="1:10" x14ac:dyDescent="0.45">
      <c r="A364">
        <v>454</v>
      </c>
      <c r="B364" t="s">
        <v>2754</v>
      </c>
      <c r="C364">
        <v>0.16</v>
      </c>
      <c r="D364">
        <v>0</v>
      </c>
      <c r="E364">
        <v>0</v>
      </c>
      <c r="F364">
        <v>0</v>
      </c>
      <c r="G364">
        <v>0.05</v>
      </c>
      <c r="H364">
        <v>0</v>
      </c>
      <c r="I364">
        <v>7</v>
      </c>
      <c r="J364">
        <v>1</v>
      </c>
    </row>
    <row r="365" spans="1:10" x14ac:dyDescent="0.45">
      <c r="A365">
        <v>455</v>
      </c>
      <c r="B365" t="s">
        <v>2755</v>
      </c>
      <c r="C365">
        <v>0.16</v>
      </c>
      <c r="D365">
        <v>0</v>
      </c>
      <c r="E365">
        <v>0</v>
      </c>
      <c r="F365">
        <v>0</v>
      </c>
      <c r="G365">
        <v>0.2</v>
      </c>
      <c r="H365">
        <v>0</v>
      </c>
      <c r="I365">
        <v>7</v>
      </c>
      <c r="J365">
        <v>1</v>
      </c>
    </row>
    <row r="366" spans="1:10" x14ac:dyDescent="0.45">
      <c r="A366">
        <v>456</v>
      </c>
      <c r="B366" t="s">
        <v>2756</v>
      </c>
      <c r="C366">
        <v>0</v>
      </c>
      <c r="D366">
        <v>1</v>
      </c>
      <c r="E366">
        <v>0</v>
      </c>
      <c r="F366">
        <v>0</v>
      </c>
      <c r="G366">
        <v>0.2</v>
      </c>
      <c r="H366">
        <v>0</v>
      </c>
      <c r="I366">
        <v>7</v>
      </c>
      <c r="J366">
        <v>1</v>
      </c>
    </row>
    <row r="367" spans="1:10" x14ac:dyDescent="0.45">
      <c r="A367">
        <v>457</v>
      </c>
      <c r="B367" t="s">
        <v>2757</v>
      </c>
      <c r="C367">
        <v>0.16</v>
      </c>
      <c r="D367">
        <v>0</v>
      </c>
      <c r="E367">
        <v>0</v>
      </c>
      <c r="F367">
        <v>0</v>
      </c>
      <c r="G367">
        <v>0.2</v>
      </c>
      <c r="H367">
        <v>0</v>
      </c>
      <c r="I367">
        <v>10</v>
      </c>
      <c r="J367">
        <v>1</v>
      </c>
    </row>
    <row r="368" spans="1:10" x14ac:dyDescent="0.45">
      <c r="A368">
        <v>458</v>
      </c>
      <c r="B368" t="s">
        <v>2758</v>
      </c>
      <c r="C368">
        <v>0.16</v>
      </c>
      <c r="D368">
        <v>0</v>
      </c>
      <c r="E368">
        <v>0</v>
      </c>
      <c r="F368">
        <v>0</v>
      </c>
      <c r="G368">
        <v>0.2</v>
      </c>
      <c r="H368">
        <v>0</v>
      </c>
      <c r="I368">
        <v>10</v>
      </c>
      <c r="J368">
        <v>1</v>
      </c>
    </row>
    <row r="369" spans="1:10" x14ac:dyDescent="0.45">
      <c r="A369">
        <v>459</v>
      </c>
      <c r="B369" t="s">
        <v>2759</v>
      </c>
      <c r="C369">
        <v>0.16</v>
      </c>
      <c r="D369">
        <v>0</v>
      </c>
      <c r="E369">
        <v>0</v>
      </c>
      <c r="F369">
        <v>0</v>
      </c>
      <c r="G369">
        <v>0.2</v>
      </c>
      <c r="H369">
        <v>0</v>
      </c>
      <c r="I369">
        <v>10</v>
      </c>
      <c r="J369">
        <v>1</v>
      </c>
    </row>
    <row r="370" spans="1:10" x14ac:dyDescent="0.45">
      <c r="A370">
        <v>460</v>
      </c>
      <c r="B370" t="s">
        <v>2760</v>
      </c>
      <c r="C370">
        <v>0.16</v>
      </c>
      <c r="D370">
        <v>0</v>
      </c>
      <c r="E370">
        <v>0</v>
      </c>
      <c r="F370">
        <v>0</v>
      </c>
      <c r="G370">
        <v>0.2</v>
      </c>
      <c r="H370">
        <v>0</v>
      </c>
      <c r="I370">
        <v>10</v>
      </c>
      <c r="J370">
        <v>1</v>
      </c>
    </row>
    <row r="371" spans="1:10" x14ac:dyDescent="0.45">
      <c r="A371">
        <v>461</v>
      </c>
      <c r="B371" t="s">
        <v>2761</v>
      </c>
      <c r="C371">
        <v>0.16</v>
      </c>
      <c r="D371">
        <v>0</v>
      </c>
      <c r="E371">
        <v>0</v>
      </c>
      <c r="F371">
        <v>0</v>
      </c>
      <c r="G371">
        <v>0.2</v>
      </c>
      <c r="H371">
        <v>0</v>
      </c>
      <c r="I371">
        <v>10</v>
      </c>
      <c r="J371">
        <v>1</v>
      </c>
    </row>
    <row r="372" spans="1:10" x14ac:dyDescent="0.45">
      <c r="A372">
        <v>462</v>
      </c>
      <c r="B372" t="s">
        <v>2762</v>
      </c>
      <c r="C372">
        <v>0.16</v>
      </c>
      <c r="D372">
        <v>0</v>
      </c>
      <c r="E372">
        <v>0</v>
      </c>
      <c r="F372">
        <v>0</v>
      </c>
      <c r="G372">
        <v>0.2</v>
      </c>
      <c r="H372">
        <v>0</v>
      </c>
      <c r="I372">
        <v>10</v>
      </c>
      <c r="J372">
        <v>1</v>
      </c>
    </row>
    <row r="373" spans="1:10" x14ac:dyDescent="0.45">
      <c r="A373">
        <v>463</v>
      </c>
      <c r="B373" t="s">
        <v>2763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10</v>
      </c>
      <c r="J373">
        <v>1</v>
      </c>
    </row>
    <row r="374" spans="1:10" x14ac:dyDescent="0.45">
      <c r="A374">
        <v>464</v>
      </c>
      <c r="B374" t="s">
        <v>2764</v>
      </c>
      <c r="C374">
        <v>0</v>
      </c>
      <c r="D374">
        <v>1</v>
      </c>
      <c r="E374">
        <v>0</v>
      </c>
      <c r="F374">
        <v>0</v>
      </c>
      <c r="G374">
        <v>0.2</v>
      </c>
      <c r="H374">
        <v>1</v>
      </c>
      <c r="I374">
        <v>10</v>
      </c>
      <c r="J374">
        <v>1</v>
      </c>
    </row>
    <row r="375" spans="1:10" x14ac:dyDescent="0.45">
      <c r="A375">
        <v>465</v>
      </c>
      <c r="B375" t="s">
        <v>2765</v>
      </c>
      <c r="C375">
        <v>0.16</v>
      </c>
      <c r="D375">
        <v>0</v>
      </c>
      <c r="E375">
        <v>0</v>
      </c>
      <c r="F375">
        <v>0</v>
      </c>
      <c r="G375">
        <v>0.2</v>
      </c>
      <c r="H375">
        <v>0</v>
      </c>
      <c r="I375">
        <v>10</v>
      </c>
      <c r="J375">
        <v>1</v>
      </c>
    </row>
    <row r="376" spans="1:10" x14ac:dyDescent="0.45">
      <c r="A376">
        <v>466</v>
      </c>
      <c r="B376" t="s">
        <v>2766</v>
      </c>
      <c r="C376">
        <v>0.16</v>
      </c>
      <c r="D376">
        <v>0</v>
      </c>
      <c r="E376">
        <v>0</v>
      </c>
      <c r="F376">
        <v>0</v>
      </c>
      <c r="G376">
        <v>0.13</v>
      </c>
      <c r="H376">
        <v>0</v>
      </c>
      <c r="I376">
        <v>10</v>
      </c>
      <c r="J376">
        <v>1</v>
      </c>
    </row>
    <row r="377" spans="1:10" x14ac:dyDescent="0.45">
      <c r="A377">
        <v>467</v>
      </c>
      <c r="B377" t="s">
        <v>2767</v>
      </c>
      <c r="C377">
        <v>0.16</v>
      </c>
      <c r="D377">
        <v>0</v>
      </c>
      <c r="E377">
        <v>0</v>
      </c>
      <c r="F377">
        <v>0</v>
      </c>
      <c r="G377">
        <v>0.2</v>
      </c>
      <c r="H377">
        <v>0</v>
      </c>
      <c r="I377">
        <v>10</v>
      </c>
      <c r="J377">
        <v>1</v>
      </c>
    </row>
    <row r="378" spans="1:10" x14ac:dyDescent="0.45">
      <c r="A378">
        <v>468</v>
      </c>
      <c r="B378" t="s">
        <v>2768</v>
      </c>
      <c r="C378">
        <v>0</v>
      </c>
      <c r="D378">
        <v>1</v>
      </c>
      <c r="E378">
        <v>0</v>
      </c>
      <c r="F378">
        <v>0</v>
      </c>
      <c r="G378">
        <v>0.2</v>
      </c>
      <c r="H378">
        <v>0</v>
      </c>
      <c r="I378">
        <v>10</v>
      </c>
      <c r="J378">
        <v>1</v>
      </c>
    </row>
    <row r="379" spans="1:10" x14ac:dyDescent="0.45">
      <c r="A379">
        <v>469</v>
      </c>
      <c r="B379" t="s">
        <v>2769</v>
      </c>
      <c r="C379">
        <v>0</v>
      </c>
      <c r="D379">
        <v>1</v>
      </c>
      <c r="E379">
        <v>0</v>
      </c>
      <c r="F379">
        <v>0</v>
      </c>
      <c r="G379">
        <v>0.2</v>
      </c>
      <c r="H379">
        <v>0</v>
      </c>
      <c r="I379">
        <v>10</v>
      </c>
      <c r="J379">
        <v>1</v>
      </c>
    </row>
    <row r="380" spans="1:10" x14ac:dyDescent="0.45">
      <c r="A380">
        <v>470</v>
      </c>
      <c r="B380" t="s">
        <v>2770</v>
      </c>
      <c r="C380">
        <v>0.16</v>
      </c>
      <c r="D380">
        <v>0</v>
      </c>
      <c r="E380">
        <v>0</v>
      </c>
      <c r="F380">
        <v>0</v>
      </c>
      <c r="G380">
        <v>0.2</v>
      </c>
      <c r="H380">
        <v>0</v>
      </c>
      <c r="I380">
        <v>10</v>
      </c>
      <c r="J380">
        <v>1</v>
      </c>
    </row>
    <row r="381" spans="1:10" x14ac:dyDescent="0.45">
      <c r="A381">
        <v>471</v>
      </c>
      <c r="B381" t="s">
        <v>2771</v>
      </c>
      <c r="C381">
        <v>0.16</v>
      </c>
      <c r="D381">
        <v>0</v>
      </c>
      <c r="E381">
        <v>0</v>
      </c>
      <c r="F381">
        <v>0</v>
      </c>
      <c r="G381">
        <v>0.13</v>
      </c>
      <c r="H381">
        <v>0</v>
      </c>
      <c r="I381">
        <v>10</v>
      </c>
      <c r="J381">
        <v>1</v>
      </c>
    </row>
    <row r="382" spans="1:10" x14ac:dyDescent="0.45">
      <c r="A382">
        <v>472</v>
      </c>
      <c r="B382" t="s">
        <v>2772</v>
      </c>
      <c r="C382">
        <v>0.16</v>
      </c>
      <c r="D382">
        <v>0</v>
      </c>
      <c r="E382">
        <v>0</v>
      </c>
      <c r="F382">
        <v>0</v>
      </c>
      <c r="G382">
        <v>0.2</v>
      </c>
      <c r="H382">
        <v>0</v>
      </c>
      <c r="I382">
        <v>10</v>
      </c>
      <c r="J382">
        <v>1</v>
      </c>
    </row>
    <row r="383" spans="1:10" x14ac:dyDescent="0.45">
      <c r="A383">
        <v>473</v>
      </c>
      <c r="B383" t="s">
        <v>2773</v>
      </c>
      <c r="C383">
        <v>0.16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10</v>
      </c>
      <c r="J383">
        <v>1</v>
      </c>
    </row>
    <row r="384" spans="1:10" x14ac:dyDescent="0.45">
      <c r="A384">
        <v>474</v>
      </c>
      <c r="B384" t="s">
        <v>2774</v>
      </c>
      <c r="C384">
        <v>0.16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10</v>
      </c>
      <c r="J384">
        <v>1</v>
      </c>
    </row>
    <row r="385" spans="1:10" x14ac:dyDescent="0.45">
      <c r="A385">
        <v>475</v>
      </c>
      <c r="B385" t="s">
        <v>2775</v>
      </c>
      <c r="C385">
        <v>0.16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10</v>
      </c>
      <c r="J385">
        <v>1</v>
      </c>
    </row>
    <row r="386" spans="1:10" x14ac:dyDescent="0.45">
      <c r="A386">
        <v>476</v>
      </c>
      <c r="B386" t="s">
        <v>2776</v>
      </c>
      <c r="C386">
        <v>0.16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10</v>
      </c>
      <c r="J386">
        <v>1</v>
      </c>
    </row>
    <row r="387" spans="1:10" x14ac:dyDescent="0.45">
      <c r="A387">
        <v>477</v>
      </c>
      <c r="B387" t="s">
        <v>2777</v>
      </c>
      <c r="C387">
        <v>0.16</v>
      </c>
      <c r="D387">
        <v>0</v>
      </c>
      <c r="E387">
        <v>0</v>
      </c>
      <c r="F387">
        <v>0</v>
      </c>
      <c r="G387">
        <v>0.2</v>
      </c>
      <c r="H387">
        <v>0</v>
      </c>
      <c r="I387">
        <v>10</v>
      </c>
      <c r="J387">
        <v>1</v>
      </c>
    </row>
    <row r="388" spans="1:10" x14ac:dyDescent="0.45">
      <c r="A388">
        <v>478</v>
      </c>
      <c r="B388" t="s">
        <v>2778</v>
      </c>
      <c r="C388">
        <v>0.16</v>
      </c>
      <c r="D388">
        <v>0</v>
      </c>
      <c r="E388">
        <v>0</v>
      </c>
      <c r="F388">
        <v>0</v>
      </c>
      <c r="G388">
        <v>0.2</v>
      </c>
      <c r="H388">
        <v>0</v>
      </c>
      <c r="I388">
        <v>10</v>
      </c>
      <c r="J388">
        <v>1</v>
      </c>
    </row>
    <row r="389" spans="1:10" x14ac:dyDescent="0.45">
      <c r="A389">
        <v>479</v>
      </c>
      <c r="B389" t="s">
        <v>2779</v>
      </c>
      <c r="C389">
        <v>0.16</v>
      </c>
      <c r="D389">
        <v>0</v>
      </c>
      <c r="E389">
        <v>0</v>
      </c>
      <c r="F389">
        <v>0</v>
      </c>
      <c r="G389">
        <v>0.2</v>
      </c>
      <c r="H389">
        <v>0</v>
      </c>
      <c r="I389">
        <v>10</v>
      </c>
      <c r="J389">
        <v>1</v>
      </c>
    </row>
    <row r="390" spans="1:10" x14ac:dyDescent="0.45">
      <c r="A390">
        <v>480</v>
      </c>
      <c r="B390" t="s">
        <v>2780</v>
      </c>
      <c r="C390">
        <v>0.16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10</v>
      </c>
      <c r="J390">
        <v>1</v>
      </c>
    </row>
    <row r="391" spans="1:10" x14ac:dyDescent="0.45">
      <c r="A391">
        <v>481</v>
      </c>
      <c r="B391" t="s">
        <v>2781</v>
      </c>
      <c r="C391">
        <v>0.16</v>
      </c>
      <c r="D391">
        <v>0</v>
      </c>
      <c r="E391">
        <v>0</v>
      </c>
      <c r="F391">
        <v>0</v>
      </c>
      <c r="G391">
        <v>0.2</v>
      </c>
      <c r="H391">
        <v>0</v>
      </c>
      <c r="I391">
        <v>10</v>
      </c>
      <c r="J391">
        <v>1</v>
      </c>
    </row>
    <row r="392" spans="1:10" x14ac:dyDescent="0.45">
      <c r="A392">
        <v>482</v>
      </c>
      <c r="B392" t="s">
        <v>2782</v>
      </c>
      <c r="C392">
        <v>0.16</v>
      </c>
      <c r="D392">
        <v>0</v>
      </c>
      <c r="E392">
        <v>0</v>
      </c>
      <c r="F392">
        <v>0</v>
      </c>
      <c r="G392">
        <v>0.2</v>
      </c>
      <c r="H392">
        <v>0</v>
      </c>
      <c r="I392">
        <v>11</v>
      </c>
      <c r="J392">
        <v>1</v>
      </c>
    </row>
    <row r="393" spans="1:10" x14ac:dyDescent="0.45">
      <c r="A393">
        <v>483</v>
      </c>
      <c r="B393" t="s">
        <v>2783</v>
      </c>
      <c r="C393">
        <v>0.16</v>
      </c>
      <c r="D393">
        <v>0</v>
      </c>
      <c r="E393">
        <v>0</v>
      </c>
      <c r="F393">
        <v>0</v>
      </c>
      <c r="G393">
        <v>0.2</v>
      </c>
      <c r="H393">
        <v>0</v>
      </c>
      <c r="I393">
        <v>11</v>
      </c>
      <c r="J393">
        <v>1</v>
      </c>
    </row>
    <row r="394" spans="1:10" x14ac:dyDescent="0.45">
      <c r="A394">
        <v>484</v>
      </c>
      <c r="B394" t="s">
        <v>2784</v>
      </c>
      <c r="C394">
        <v>0.16</v>
      </c>
      <c r="D394">
        <v>0</v>
      </c>
      <c r="E394">
        <v>0</v>
      </c>
      <c r="F394">
        <v>0</v>
      </c>
      <c r="G394">
        <v>0.13</v>
      </c>
      <c r="H394">
        <v>0</v>
      </c>
      <c r="I394">
        <v>11</v>
      </c>
      <c r="J394">
        <v>1</v>
      </c>
    </row>
    <row r="395" spans="1:10" x14ac:dyDescent="0.45">
      <c r="A395">
        <v>485</v>
      </c>
      <c r="B395" t="s">
        <v>2785</v>
      </c>
      <c r="C395">
        <v>0.16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11</v>
      </c>
      <c r="J395">
        <v>1</v>
      </c>
    </row>
    <row r="396" spans="1:10" x14ac:dyDescent="0.45">
      <c r="A396">
        <v>486</v>
      </c>
      <c r="B396" t="s">
        <v>2786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11</v>
      </c>
      <c r="J396">
        <v>1</v>
      </c>
    </row>
    <row r="397" spans="1:10" x14ac:dyDescent="0.45">
      <c r="A397">
        <v>487</v>
      </c>
      <c r="B397" t="s">
        <v>2787</v>
      </c>
      <c r="C397">
        <v>0.16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11</v>
      </c>
      <c r="J397">
        <v>1</v>
      </c>
    </row>
    <row r="398" spans="1:10" x14ac:dyDescent="0.45">
      <c r="A398">
        <v>488</v>
      </c>
      <c r="B398" t="s">
        <v>2788</v>
      </c>
      <c r="C398">
        <v>0.16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11</v>
      </c>
      <c r="J398">
        <v>1</v>
      </c>
    </row>
    <row r="399" spans="1:10" x14ac:dyDescent="0.45">
      <c r="A399">
        <v>489</v>
      </c>
      <c r="B399" t="s">
        <v>2789</v>
      </c>
      <c r="C399">
        <v>0.16</v>
      </c>
      <c r="D399">
        <v>0</v>
      </c>
      <c r="E399">
        <v>0</v>
      </c>
      <c r="F399">
        <v>0</v>
      </c>
      <c r="G399">
        <v>0.2</v>
      </c>
      <c r="H399">
        <v>0</v>
      </c>
      <c r="I399">
        <v>11</v>
      </c>
      <c r="J399">
        <v>1</v>
      </c>
    </row>
    <row r="400" spans="1:10" x14ac:dyDescent="0.45">
      <c r="A400">
        <v>490</v>
      </c>
      <c r="B400" t="s">
        <v>2790</v>
      </c>
      <c r="C400">
        <v>0.16</v>
      </c>
      <c r="D400">
        <v>0</v>
      </c>
      <c r="E400">
        <v>0</v>
      </c>
      <c r="F400">
        <v>0</v>
      </c>
      <c r="G400">
        <v>0.2</v>
      </c>
      <c r="H400">
        <v>0</v>
      </c>
      <c r="I400">
        <v>11</v>
      </c>
      <c r="J400">
        <v>1</v>
      </c>
    </row>
    <row r="401" spans="1:10" x14ac:dyDescent="0.45">
      <c r="A401">
        <v>491</v>
      </c>
      <c r="B401" t="s">
        <v>2791</v>
      </c>
      <c r="C401">
        <v>0.16</v>
      </c>
      <c r="D401">
        <v>0</v>
      </c>
      <c r="E401">
        <v>0</v>
      </c>
      <c r="F401">
        <v>0</v>
      </c>
      <c r="G401">
        <v>0.2</v>
      </c>
      <c r="H401">
        <v>0</v>
      </c>
      <c r="I401">
        <v>11</v>
      </c>
      <c r="J401">
        <v>1</v>
      </c>
    </row>
    <row r="402" spans="1:10" x14ac:dyDescent="0.45">
      <c r="A402">
        <v>492</v>
      </c>
      <c r="B402" t="s">
        <v>2792</v>
      </c>
      <c r="C402">
        <v>0.16</v>
      </c>
      <c r="D402">
        <v>0</v>
      </c>
      <c r="E402">
        <v>0</v>
      </c>
      <c r="F402">
        <v>0</v>
      </c>
      <c r="G402">
        <v>0.2</v>
      </c>
      <c r="H402">
        <v>0</v>
      </c>
      <c r="I402">
        <v>11</v>
      </c>
      <c r="J402">
        <v>1</v>
      </c>
    </row>
    <row r="403" spans="1:10" x14ac:dyDescent="0.45">
      <c r="A403">
        <v>493</v>
      </c>
      <c r="B403" t="s">
        <v>2793</v>
      </c>
      <c r="C403">
        <v>0.16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7</v>
      </c>
      <c r="J403">
        <v>1</v>
      </c>
    </row>
    <row r="404" spans="1:10" x14ac:dyDescent="0.45">
      <c r="A404">
        <v>494</v>
      </c>
      <c r="B404" t="s">
        <v>2794</v>
      </c>
      <c r="C404">
        <v>0.16</v>
      </c>
      <c r="D404">
        <v>0</v>
      </c>
      <c r="E404">
        <v>0</v>
      </c>
      <c r="F404">
        <v>0</v>
      </c>
      <c r="G404">
        <v>0.13</v>
      </c>
      <c r="H404">
        <v>0</v>
      </c>
      <c r="I404">
        <v>7</v>
      </c>
      <c r="J404">
        <v>1</v>
      </c>
    </row>
    <row r="405" spans="1:10" x14ac:dyDescent="0.45">
      <c r="A405">
        <v>495</v>
      </c>
      <c r="B405" t="s">
        <v>2795</v>
      </c>
      <c r="C405">
        <v>0.16</v>
      </c>
      <c r="D405">
        <v>0</v>
      </c>
      <c r="E405">
        <v>0</v>
      </c>
      <c r="F405">
        <v>0</v>
      </c>
      <c r="G405">
        <v>0.13</v>
      </c>
      <c r="H405">
        <v>0</v>
      </c>
      <c r="I405">
        <v>7</v>
      </c>
      <c r="J405">
        <v>1</v>
      </c>
    </row>
    <row r="406" spans="1:10" x14ac:dyDescent="0.45">
      <c r="A406">
        <v>496</v>
      </c>
      <c r="B406" t="s">
        <v>2796</v>
      </c>
      <c r="C406">
        <v>0.16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7</v>
      </c>
      <c r="J406">
        <v>1</v>
      </c>
    </row>
    <row r="407" spans="1:10" x14ac:dyDescent="0.45">
      <c r="A407">
        <v>497</v>
      </c>
      <c r="B407" t="s">
        <v>2797</v>
      </c>
      <c r="C407">
        <v>0.16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</v>
      </c>
      <c r="J407">
        <v>1</v>
      </c>
    </row>
    <row r="408" spans="1:10" x14ac:dyDescent="0.45">
      <c r="A408">
        <v>498</v>
      </c>
      <c r="B408" t="s">
        <v>2798</v>
      </c>
      <c r="C408">
        <v>0.16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7</v>
      </c>
      <c r="J408">
        <v>1</v>
      </c>
    </row>
    <row r="409" spans="1:10" x14ac:dyDescent="0.45">
      <c r="A409">
        <v>499</v>
      </c>
      <c r="B409" t="s">
        <v>2799</v>
      </c>
      <c r="C409">
        <v>0.16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11</v>
      </c>
      <c r="J409">
        <v>1</v>
      </c>
    </row>
    <row r="410" spans="1:10" x14ac:dyDescent="0.45">
      <c r="A410">
        <v>500</v>
      </c>
      <c r="B410" t="s">
        <v>2800</v>
      </c>
      <c r="C410">
        <v>0.16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11</v>
      </c>
      <c r="J410">
        <v>1</v>
      </c>
    </row>
    <row r="411" spans="1:10" x14ac:dyDescent="0.45">
      <c r="A411">
        <v>501</v>
      </c>
      <c r="B411" t="s">
        <v>2801</v>
      </c>
      <c r="C411">
        <v>0.16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11</v>
      </c>
      <c r="J411">
        <v>1</v>
      </c>
    </row>
    <row r="412" spans="1:10" x14ac:dyDescent="0.45">
      <c r="A412">
        <v>502</v>
      </c>
      <c r="B412" t="s">
        <v>2802</v>
      </c>
      <c r="C412">
        <v>0.16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12</v>
      </c>
      <c r="J412">
        <v>1</v>
      </c>
    </row>
    <row r="413" spans="1:10" x14ac:dyDescent="0.45">
      <c r="A413">
        <v>503</v>
      </c>
      <c r="B413" t="s">
        <v>2803</v>
      </c>
      <c r="C413">
        <v>0.16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7</v>
      </c>
      <c r="J413">
        <v>1</v>
      </c>
    </row>
    <row r="414" spans="1:10" x14ac:dyDescent="0.45">
      <c r="A414">
        <v>504</v>
      </c>
      <c r="B414" t="s">
        <v>2804</v>
      </c>
      <c r="C414">
        <v>0.16</v>
      </c>
      <c r="D414">
        <v>0</v>
      </c>
      <c r="E414">
        <v>0</v>
      </c>
      <c r="F414">
        <v>0</v>
      </c>
      <c r="G414">
        <v>0.2</v>
      </c>
      <c r="H414">
        <v>0</v>
      </c>
      <c r="I414">
        <v>13</v>
      </c>
      <c r="J414">
        <v>1</v>
      </c>
    </row>
    <row r="415" spans="1:10" x14ac:dyDescent="0.45">
      <c r="A415">
        <v>507</v>
      </c>
      <c r="B415" t="s">
        <v>2805</v>
      </c>
      <c r="C415">
        <v>0.16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20</v>
      </c>
      <c r="J415">
        <v>1</v>
      </c>
    </row>
    <row r="416" spans="1:10" x14ac:dyDescent="0.45">
      <c r="A416">
        <v>508</v>
      </c>
      <c r="B416" t="s">
        <v>2806</v>
      </c>
      <c r="C416">
        <v>0.16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20</v>
      </c>
      <c r="J416">
        <v>1</v>
      </c>
    </row>
    <row r="417" spans="1:10" x14ac:dyDescent="0.45">
      <c r="A417">
        <v>509</v>
      </c>
      <c r="B417" t="s">
        <v>2807</v>
      </c>
      <c r="C417">
        <v>0.16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20</v>
      </c>
      <c r="J417">
        <v>1</v>
      </c>
    </row>
    <row r="418" spans="1:10" x14ac:dyDescent="0.45">
      <c r="A418">
        <v>510</v>
      </c>
      <c r="B418" t="s">
        <v>2808</v>
      </c>
      <c r="C418">
        <v>0.16</v>
      </c>
      <c r="D418">
        <v>0</v>
      </c>
      <c r="E418">
        <v>0</v>
      </c>
      <c r="F418">
        <v>0</v>
      </c>
      <c r="G418">
        <v>0.05</v>
      </c>
      <c r="H418">
        <v>0</v>
      </c>
      <c r="I418">
        <v>7</v>
      </c>
      <c r="J418">
        <v>1</v>
      </c>
    </row>
    <row r="419" spans="1:10" x14ac:dyDescent="0.45">
      <c r="A419">
        <v>511</v>
      </c>
      <c r="B419" t="s">
        <v>2809</v>
      </c>
      <c r="C419">
        <v>0.16</v>
      </c>
      <c r="D419">
        <v>0</v>
      </c>
      <c r="E419">
        <v>0</v>
      </c>
      <c r="F419">
        <v>0</v>
      </c>
      <c r="G419">
        <v>0.2</v>
      </c>
      <c r="H419">
        <v>0</v>
      </c>
      <c r="I419">
        <v>7</v>
      </c>
      <c r="J419">
        <v>1</v>
      </c>
    </row>
    <row r="420" spans="1:10" x14ac:dyDescent="0.45">
      <c r="A420">
        <v>512</v>
      </c>
      <c r="B420" t="s">
        <v>2810</v>
      </c>
      <c r="C420">
        <v>0.16</v>
      </c>
      <c r="D420">
        <v>0</v>
      </c>
      <c r="E420">
        <v>0</v>
      </c>
      <c r="F420">
        <v>0</v>
      </c>
      <c r="G420">
        <v>0.2</v>
      </c>
      <c r="H420">
        <v>0</v>
      </c>
      <c r="I420">
        <v>20</v>
      </c>
      <c r="J420">
        <v>1</v>
      </c>
    </row>
    <row r="421" spans="1:10" x14ac:dyDescent="0.45">
      <c r="A421">
        <v>513</v>
      </c>
      <c r="B421" t="s">
        <v>2811</v>
      </c>
      <c r="C421">
        <v>0.16</v>
      </c>
      <c r="D421">
        <v>0</v>
      </c>
      <c r="E421">
        <v>0</v>
      </c>
      <c r="F421">
        <v>0</v>
      </c>
      <c r="G421">
        <v>0.2</v>
      </c>
      <c r="H421">
        <v>0</v>
      </c>
      <c r="I421">
        <v>12</v>
      </c>
      <c r="J421">
        <v>1</v>
      </c>
    </row>
    <row r="422" spans="1:10" x14ac:dyDescent="0.45">
      <c r="A422">
        <v>514</v>
      </c>
      <c r="B422" t="s">
        <v>2812</v>
      </c>
      <c r="C422">
        <v>0.16</v>
      </c>
      <c r="D422">
        <v>0</v>
      </c>
      <c r="E422">
        <v>0</v>
      </c>
      <c r="F422">
        <v>0</v>
      </c>
      <c r="G422">
        <v>0.2</v>
      </c>
      <c r="H422">
        <v>0</v>
      </c>
      <c r="I422">
        <v>20</v>
      </c>
      <c r="J4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D67E-6630-4E29-B415-4E0EEDB8A060}">
  <dimension ref="A1:C64"/>
  <sheetViews>
    <sheetView workbookViewId="0">
      <selection activeCell="E1" sqref="E1"/>
    </sheetView>
  </sheetViews>
  <sheetFormatPr defaultColWidth="8.73046875" defaultRowHeight="14.25" x14ac:dyDescent="0.45"/>
  <sheetData>
    <row r="1" spans="1:3" x14ac:dyDescent="0.45">
      <c r="A1" t="s">
        <v>2813</v>
      </c>
      <c r="B1" t="s">
        <v>2814</v>
      </c>
      <c r="C1" t="s">
        <v>912</v>
      </c>
    </row>
    <row r="2" spans="1:3" s="1" customFormat="1" x14ac:dyDescent="0.45">
      <c r="A2" s="1">
        <v>1</v>
      </c>
      <c r="C2" s="1" t="s">
        <v>2815</v>
      </c>
    </row>
    <row r="3" spans="1:3" x14ac:dyDescent="0.45">
      <c r="A3">
        <v>11</v>
      </c>
      <c r="B3">
        <f t="shared" ref="B3:B64" si="0">A3</f>
        <v>11</v>
      </c>
      <c r="C3" t="s">
        <v>2816</v>
      </c>
    </row>
    <row r="4" spans="1:3" x14ac:dyDescent="0.45">
      <c r="A4">
        <v>12</v>
      </c>
      <c r="B4">
        <f t="shared" si="0"/>
        <v>12</v>
      </c>
      <c r="C4" t="s">
        <v>2817</v>
      </c>
    </row>
    <row r="5" spans="1:3" x14ac:dyDescent="0.45">
      <c r="A5">
        <v>13</v>
      </c>
      <c r="B5">
        <f t="shared" si="0"/>
        <v>13</v>
      </c>
      <c r="C5" t="s">
        <v>2818</v>
      </c>
    </row>
    <row r="6" spans="1:3" s="1" customFormat="1" x14ac:dyDescent="0.45">
      <c r="A6" s="1">
        <v>2</v>
      </c>
      <c r="C6" s="1" t="s">
        <v>2819</v>
      </c>
    </row>
    <row r="7" spans="1:3" x14ac:dyDescent="0.45">
      <c r="A7">
        <v>21</v>
      </c>
      <c r="B7">
        <f t="shared" si="0"/>
        <v>21</v>
      </c>
      <c r="C7" t="s">
        <v>2820</v>
      </c>
    </row>
    <row r="8" spans="1:3" x14ac:dyDescent="0.45">
      <c r="A8">
        <v>22</v>
      </c>
      <c r="B8">
        <f t="shared" si="0"/>
        <v>22</v>
      </c>
      <c r="C8" t="s">
        <v>2821</v>
      </c>
    </row>
    <row r="9" spans="1:3" x14ac:dyDescent="0.45">
      <c r="A9">
        <v>23</v>
      </c>
      <c r="B9">
        <f t="shared" si="0"/>
        <v>23</v>
      </c>
      <c r="C9" t="s">
        <v>2822</v>
      </c>
    </row>
    <row r="10" spans="1:3" x14ac:dyDescent="0.45">
      <c r="A10">
        <v>24</v>
      </c>
      <c r="B10">
        <f t="shared" si="0"/>
        <v>24</v>
      </c>
      <c r="C10" t="s">
        <v>2823</v>
      </c>
    </row>
    <row r="11" spans="1:3" s="1" customFormat="1" x14ac:dyDescent="0.45">
      <c r="A11" s="1">
        <v>3</v>
      </c>
      <c r="B11" s="1">
        <f t="shared" si="0"/>
        <v>3</v>
      </c>
      <c r="C11" s="1" t="s">
        <v>2824</v>
      </c>
    </row>
    <row r="12" spans="1:3" x14ac:dyDescent="0.45">
      <c r="A12">
        <v>31</v>
      </c>
      <c r="B12">
        <f t="shared" si="0"/>
        <v>31</v>
      </c>
      <c r="C12" t="s">
        <v>2825</v>
      </c>
    </row>
    <row r="13" spans="1:3" x14ac:dyDescent="0.45">
      <c r="A13">
        <v>32</v>
      </c>
      <c r="B13">
        <f t="shared" si="0"/>
        <v>32</v>
      </c>
      <c r="C13" t="s">
        <v>2826</v>
      </c>
    </row>
    <row r="14" spans="1:3" s="1" customFormat="1" x14ac:dyDescent="0.45">
      <c r="A14" s="1">
        <v>4</v>
      </c>
      <c r="B14" s="1">
        <f t="shared" si="0"/>
        <v>4</v>
      </c>
      <c r="C14" s="1" t="s">
        <v>2827</v>
      </c>
    </row>
    <row r="15" spans="1:3" x14ac:dyDescent="0.45">
      <c r="A15">
        <v>41</v>
      </c>
      <c r="B15">
        <f t="shared" si="0"/>
        <v>41</v>
      </c>
      <c r="C15" t="s">
        <v>2828</v>
      </c>
    </row>
    <row r="16" spans="1:3" x14ac:dyDescent="0.45">
      <c r="A16">
        <v>42</v>
      </c>
      <c r="B16">
        <f t="shared" si="0"/>
        <v>42</v>
      </c>
      <c r="C16" t="s">
        <v>2829</v>
      </c>
    </row>
    <row r="17" spans="1:3" x14ac:dyDescent="0.45">
      <c r="A17">
        <v>43</v>
      </c>
      <c r="B17">
        <f t="shared" si="0"/>
        <v>43</v>
      </c>
      <c r="C17" t="s">
        <v>2830</v>
      </c>
    </row>
    <row r="18" spans="1:3" x14ac:dyDescent="0.45">
      <c r="A18">
        <v>44</v>
      </c>
      <c r="B18">
        <f t="shared" si="0"/>
        <v>44</v>
      </c>
      <c r="C18" t="s">
        <v>2831</v>
      </c>
    </row>
    <row r="19" spans="1:3" x14ac:dyDescent="0.45">
      <c r="A19">
        <v>45</v>
      </c>
      <c r="B19">
        <f t="shared" si="0"/>
        <v>45</v>
      </c>
      <c r="C19" t="s">
        <v>2832</v>
      </c>
    </row>
    <row r="20" spans="1:3" s="1" customFormat="1" x14ac:dyDescent="0.45">
      <c r="A20" s="1">
        <v>5</v>
      </c>
      <c r="B20" s="1">
        <f t="shared" si="0"/>
        <v>5</v>
      </c>
      <c r="C20" s="1" t="s">
        <v>2833</v>
      </c>
    </row>
    <row r="21" spans="1:3" x14ac:dyDescent="0.45">
      <c r="A21">
        <v>51</v>
      </c>
      <c r="B21">
        <f t="shared" si="0"/>
        <v>51</v>
      </c>
      <c r="C21" t="s">
        <v>2834</v>
      </c>
    </row>
    <row r="22" spans="1:3" x14ac:dyDescent="0.45">
      <c r="A22">
        <v>52</v>
      </c>
      <c r="B22">
        <f t="shared" si="0"/>
        <v>52</v>
      </c>
      <c r="C22" t="s">
        <v>2835</v>
      </c>
    </row>
    <row r="23" spans="1:3" x14ac:dyDescent="0.45">
      <c r="A23">
        <v>53</v>
      </c>
      <c r="B23">
        <f t="shared" si="0"/>
        <v>53</v>
      </c>
      <c r="C23" t="s">
        <v>2836</v>
      </c>
    </row>
    <row r="24" spans="1:3" x14ac:dyDescent="0.45">
      <c r="A24">
        <v>54</v>
      </c>
      <c r="B24">
        <f t="shared" si="0"/>
        <v>54</v>
      </c>
      <c r="C24" t="s">
        <v>2837</v>
      </c>
    </row>
    <row r="25" spans="1:3" x14ac:dyDescent="0.45">
      <c r="A25">
        <v>55</v>
      </c>
      <c r="B25">
        <f t="shared" si="0"/>
        <v>55</v>
      </c>
      <c r="C25" t="s">
        <v>2838</v>
      </c>
    </row>
    <row r="26" spans="1:3" x14ac:dyDescent="0.45">
      <c r="A26">
        <v>56</v>
      </c>
      <c r="B26">
        <f t="shared" si="0"/>
        <v>56</v>
      </c>
      <c r="C26" t="s">
        <v>2839</v>
      </c>
    </row>
    <row r="27" spans="1:3" s="1" customFormat="1" x14ac:dyDescent="0.45">
      <c r="A27" s="1">
        <v>6</v>
      </c>
      <c r="B27" s="1">
        <f t="shared" si="0"/>
        <v>6</v>
      </c>
      <c r="C27" s="1" t="s">
        <v>88</v>
      </c>
    </row>
    <row r="28" spans="1:3" x14ac:dyDescent="0.45">
      <c r="A28">
        <v>61</v>
      </c>
      <c r="B28">
        <f t="shared" si="0"/>
        <v>61</v>
      </c>
      <c r="C28" t="s">
        <v>2840</v>
      </c>
    </row>
    <row r="29" spans="1:3" x14ac:dyDescent="0.45">
      <c r="A29">
        <v>62</v>
      </c>
      <c r="B29">
        <f t="shared" si="0"/>
        <v>62</v>
      </c>
      <c r="C29" t="s">
        <v>2841</v>
      </c>
    </row>
    <row r="30" spans="1:3" x14ac:dyDescent="0.45">
      <c r="A30">
        <v>63</v>
      </c>
      <c r="B30">
        <f t="shared" si="0"/>
        <v>63</v>
      </c>
      <c r="C30" t="s">
        <v>2842</v>
      </c>
    </row>
    <row r="31" spans="1:3" x14ac:dyDescent="0.45">
      <c r="A31">
        <v>64</v>
      </c>
      <c r="B31">
        <f t="shared" si="0"/>
        <v>64</v>
      </c>
      <c r="C31" t="s">
        <v>2843</v>
      </c>
    </row>
    <row r="32" spans="1:3" s="1" customFormat="1" x14ac:dyDescent="0.45">
      <c r="A32" s="1">
        <v>7</v>
      </c>
      <c r="B32" s="1">
        <f t="shared" si="0"/>
        <v>7</v>
      </c>
      <c r="C32" s="1" t="s">
        <v>2844</v>
      </c>
    </row>
    <row r="33" spans="1:3" x14ac:dyDescent="0.45">
      <c r="A33">
        <v>71</v>
      </c>
      <c r="B33">
        <f t="shared" si="0"/>
        <v>71</v>
      </c>
      <c r="C33" t="s">
        <v>2845</v>
      </c>
    </row>
    <row r="34" spans="1:3" x14ac:dyDescent="0.45">
      <c r="A34">
        <v>72</v>
      </c>
      <c r="B34">
        <f t="shared" si="0"/>
        <v>72</v>
      </c>
      <c r="C34" t="s">
        <v>2846</v>
      </c>
    </row>
    <row r="35" spans="1:3" x14ac:dyDescent="0.45">
      <c r="A35">
        <v>73</v>
      </c>
      <c r="B35">
        <f t="shared" si="0"/>
        <v>73</v>
      </c>
      <c r="C35" t="s">
        <v>2847</v>
      </c>
    </row>
    <row r="36" spans="1:3" x14ac:dyDescent="0.45">
      <c r="A36">
        <v>74</v>
      </c>
      <c r="B36">
        <f t="shared" si="0"/>
        <v>74</v>
      </c>
      <c r="C36" t="s">
        <v>2848</v>
      </c>
    </row>
    <row r="37" spans="1:3" s="1" customFormat="1" x14ac:dyDescent="0.45">
      <c r="A37" s="1">
        <v>8</v>
      </c>
      <c r="B37" s="1">
        <f t="shared" si="0"/>
        <v>8</v>
      </c>
      <c r="C37" s="1" t="s">
        <v>2849</v>
      </c>
    </row>
    <row r="38" spans="1:3" x14ac:dyDescent="0.45">
      <c r="A38">
        <v>81</v>
      </c>
      <c r="B38">
        <f t="shared" si="0"/>
        <v>81</v>
      </c>
      <c r="C38" t="s">
        <v>2850</v>
      </c>
    </row>
    <row r="39" spans="1:3" x14ac:dyDescent="0.45">
      <c r="A39">
        <v>81</v>
      </c>
      <c r="B39">
        <f t="shared" si="0"/>
        <v>81</v>
      </c>
      <c r="C39" t="s">
        <v>2851</v>
      </c>
    </row>
    <row r="40" spans="1:3" x14ac:dyDescent="0.45">
      <c r="A40">
        <v>83</v>
      </c>
      <c r="B40">
        <f t="shared" si="0"/>
        <v>83</v>
      </c>
      <c r="C40" t="s">
        <v>2852</v>
      </c>
    </row>
    <row r="41" spans="1:3" s="1" customFormat="1" x14ac:dyDescent="0.45">
      <c r="A41" s="1">
        <v>9</v>
      </c>
      <c r="B41" s="1">
        <f t="shared" si="0"/>
        <v>9</v>
      </c>
      <c r="C41" s="1" t="s">
        <v>2853</v>
      </c>
    </row>
    <row r="42" spans="1:3" x14ac:dyDescent="0.45">
      <c r="A42">
        <v>91</v>
      </c>
      <c r="B42">
        <f t="shared" si="0"/>
        <v>91</v>
      </c>
      <c r="C42" t="s">
        <v>2854</v>
      </c>
    </row>
    <row r="43" spans="1:3" x14ac:dyDescent="0.45">
      <c r="A43">
        <v>92</v>
      </c>
      <c r="B43">
        <f t="shared" si="0"/>
        <v>92</v>
      </c>
      <c r="C43" t="s">
        <v>2855</v>
      </c>
    </row>
    <row r="44" spans="1:3" x14ac:dyDescent="0.45">
      <c r="A44">
        <v>93</v>
      </c>
      <c r="B44">
        <f t="shared" si="0"/>
        <v>93</v>
      </c>
      <c r="C44" t="s">
        <v>2856</v>
      </c>
    </row>
    <row r="45" spans="1:3" x14ac:dyDescent="0.45">
      <c r="A45">
        <v>94</v>
      </c>
      <c r="B45">
        <f t="shared" si="0"/>
        <v>94</v>
      </c>
      <c r="C45" t="s">
        <v>2857</v>
      </c>
    </row>
    <row r="46" spans="1:3" x14ac:dyDescent="0.45">
      <c r="A46">
        <v>95</v>
      </c>
      <c r="B46">
        <f t="shared" si="0"/>
        <v>95</v>
      </c>
      <c r="C46" t="s">
        <v>2858</v>
      </c>
    </row>
    <row r="47" spans="1:3" x14ac:dyDescent="0.45">
      <c r="A47">
        <v>96</v>
      </c>
      <c r="B47">
        <f t="shared" si="0"/>
        <v>96</v>
      </c>
      <c r="C47" t="s">
        <v>2859</v>
      </c>
    </row>
    <row r="48" spans="1:3" x14ac:dyDescent="0.45">
      <c r="A48">
        <v>97</v>
      </c>
      <c r="B48">
        <f t="shared" si="0"/>
        <v>97</v>
      </c>
      <c r="C48" t="s">
        <v>2860</v>
      </c>
    </row>
    <row r="49" spans="1:3" x14ac:dyDescent="0.45">
      <c r="A49">
        <v>98</v>
      </c>
      <c r="B49">
        <f t="shared" si="0"/>
        <v>98</v>
      </c>
      <c r="C49" t="s">
        <v>2861</v>
      </c>
    </row>
    <row r="50" spans="1:3" s="1" customFormat="1" x14ac:dyDescent="0.45">
      <c r="A50" s="1">
        <v>10</v>
      </c>
      <c r="B50" s="1">
        <f t="shared" si="0"/>
        <v>10</v>
      </c>
      <c r="C50" s="1" t="s">
        <v>2862</v>
      </c>
    </row>
    <row r="51" spans="1:3" x14ac:dyDescent="0.45">
      <c r="A51">
        <v>101</v>
      </c>
      <c r="B51">
        <f t="shared" si="0"/>
        <v>101</v>
      </c>
      <c r="C51" t="s">
        <v>2863</v>
      </c>
    </row>
    <row r="52" spans="1:3" x14ac:dyDescent="0.45">
      <c r="A52">
        <v>102</v>
      </c>
      <c r="B52">
        <f t="shared" si="0"/>
        <v>102</v>
      </c>
      <c r="C52" t="s">
        <v>2864</v>
      </c>
    </row>
    <row r="53" spans="1:3" x14ac:dyDescent="0.45">
      <c r="A53">
        <v>103</v>
      </c>
      <c r="B53">
        <f t="shared" si="0"/>
        <v>103</v>
      </c>
      <c r="C53" t="s">
        <v>2865</v>
      </c>
    </row>
    <row r="54" spans="1:3" x14ac:dyDescent="0.45">
      <c r="A54">
        <v>104</v>
      </c>
      <c r="B54">
        <f t="shared" si="0"/>
        <v>104</v>
      </c>
      <c r="C54" t="s">
        <v>2866</v>
      </c>
    </row>
    <row r="55" spans="1:3" x14ac:dyDescent="0.45">
      <c r="A55">
        <v>105</v>
      </c>
      <c r="B55">
        <f t="shared" si="0"/>
        <v>105</v>
      </c>
      <c r="C55" t="s">
        <v>2867</v>
      </c>
    </row>
    <row r="56" spans="1:3" s="1" customFormat="1" x14ac:dyDescent="0.45">
      <c r="A56" s="1">
        <v>11</v>
      </c>
      <c r="B56" s="1">
        <f t="shared" si="0"/>
        <v>11</v>
      </c>
      <c r="C56" s="1" t="s">
        <v>2868</v>
      </c>
    </row>
    <row r="57" spans="1:3" x14ac:dyDescent="0.45">
      <c r="A57">
        <v>111</v>
      </c>
      <c r="B57">
        <f t="shared" si="0"/>
        <v>111</v>
      </c>
      <c r="C57" t="s">
        <v>2869</v>
      </c>
    </row>
    <row r="58" spans="1:3" x14ac:dyDescent="0.45">
      <c r="A58">
        <v>112</v>
      </c>
      <c r="B58">
        <f t="shared" si="0"/>
        <v>112</v>
      </c>
      <c r="C58" t="s">
        <v>2870</v>
      </c>
    </row>
    <row r="59" spans="1:3" s="1" customFormat="1" x14ac:dyDescent="0.45">
      <c r="A59" s="1">
        <v>12</v>
      </c>
      <c r="B59" s="1">
        <f t="shared" si="0"/>
        <v>12</v>
      </c>
      <c r="C59" s="1" t="s">
        <v>2871</v>
      </c>
    </row>
    <row r="60" spans="1:3" x14ac:dyDescent="0.45">
      <c r="A60">
        <v>121</v>
      </c>
      <c r="B60">
        <f t="shared" si="0"/>
        <v>121</v>
      </c>
      <c r="C60" t="s">
        <v>2872</v>
      </c>
    </row>
    <row r="61" spans="1:3" x14ac:dyDescent="0.45">
      <c r="A61">
        <v>122</v>
      </c>
      <c r="B61">
        <f t="shared" si="0"/>
        <v>122</v>
      </c>
      <c r="C61" t="s">
        <v>2873</v>
      </c>
    </row>
    <row r="62" spans="1:3" s="1" customFormat="1" x14ac:dyDescent="0.45">
      <c r="A62" s="1">
        <v>13</v>
      </c>
      <c r="B62" s="1">
        <f t="shared" si="0"/>
        <v>13</v>
      </c>
      <c r="C62" s="1" t="s">
        <v>2874</v>
      </c>
    </row>
    <row r="63" spans="1:3" x14ac:dyDescent="0.45">
      <c r="A63">
        <v>131</v>
      </c>
      <c r="B63">
        <f t="shared" si="0"/>
        <v>131</v>
      </c>
      <c r="C63" t="s">
        <v>2875</v>
      </c>
    </row>
    <row r="64" spans="1:3" x14ac:dyDescent="0.45">
      <c r="A64">
        <v>132</v>
      </c>
      <c r="B64">
        <f t="shared" si="0"/>
        <v>132</v>
      </c>
      <c r="C64" t="s">
        <v>2876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3EA3-6CA1-1B4A-866E-1907CA1605B8}">
  <dimension ref="A1:O40"/>
  <sheetViews>
    <sheetView topLeftCell="A22" workbookViewId="0">
      <selection activeCell="D37" sqref="D37:F40"/>
    </sheetView>
  </sheetViews>
  <sheetFormatPr defaultColWidth="11.3984375" defaultRowHeight="14.25" x14ac:dyDescent="0.45"/>
  <cols>
    <col min="2" max="3" width="24" customWidth="1"/>
    <col min="4" max="4" width="27.73046875" customWidth="1"/>
    <col min="5" max="15" width="15.73046875" customWidth="1"/>
  </cols>
  <sheetData>
    <row r="1" spans="1:15" x14ac:dyDescent="0.45">
      <c r="A1" t="s">
        <v>795</v>
      </c>
      <c r="B1" t="s">
        <v>2877</v>
      </c>
      <c r="C1" t="s">
        <v>2878</v>
      </c>
      <c r="D1" t="s">
        <v>2879</v>
      </c>
      <c r="E1" t="s">
        <v>2880</v>
      </c>
      <c r="F1" t="s">
        <v>2881</v>
      </c>
      <c r="G1" t="s">
        <v>2882</v>
      </c>
      <c r="H1" t="s">
        <v>2883</v>
      </c>
      <c r="I1" t="s">
        <v>2884</v>
      </c>
      <c r="J1" t="s">
        <v>2885</v>
      </c>
      <c r="K1" t="s">
        <v>2886</v>
      </c>
      <c r="L1" t="s">
        <v>2887</v>
      </c>
      <c r="M1" t="s">
        <v>2888</v>
      </c>
      <c r="N1" t="s">
        <v>2889</v>
      </c>
      <c r="O1" t="s">
        <v>2890</v>
      </c>
    </row>
    <row r="2" spans="1:15" x14ac:dyDescent="0.45">
      <c r="A2" t="s">
        <v>128</v>
      </c>
      <c r="B2" t="s">
        <v>129</v>
      </c>
      <c r="C2" t="s">
        <v>2891</v>
      </c>
      <c r="D2" t="s">
        <v>2892</v>
      </c>
      <c r="E2" t="s">
        <v>2893</v>
      </c>
      <c r="F2" t="s">
        <v>2894</v>
      </c>
      <c r="G2" t="s">
        <v>2895</v>
      </c>
      <c r="H2" t="s">
        <v>2896</v>
      </c>
      <c r="K2" t="s">
        <v>2897</v>
      </c>
      <c r="L2" t="s">
        <v>2898</v>
      </c>
      <c r="M2" t="s">
        <v>2899</v>
      </c>
    </row>
    <row r="3" spans="1:15" x14ac:dyDescent="0.45">
      <c r="A3" t="s">
        <v>128</v>
      </c>
      <c r="B3" t="s">
        <v>129</v>
      </c>
      <c r="C3" t="s">
        <v>2900</v>
      </c>
      <c r="D3" t="s">
        <v>2901</v>
      </c>
      <c r="E3" t="s">
        <v>2893</v>
      </c>
      <c r="F3" t="s">
        <v>2902</v>
      </c>
      <c r="G3" t="s">
        <v>2895</v>
      </c>
      <c r="H3" t="s">
        <v>2896</v>
      </c>
      <c r="K3" t="s">
        <v>2897</v>
      </c>
      <c r="L3" t="s">
        <v>2903</v>
      </c>
    </row>
    <row r="4" spans="1:15" x14ac:dyDescent="0.45">
      <c r="A4" t="s">
        <v>441</v>
      </c>
      <c r="B4" t="s">
        <v>442</v>
      </c>
      <c r="C4" t="s">
        <v>2904</v>
      </c>
      <c r="D4" t="s">
        <v>2905</v>
      </c>
      <c r="E4" t="s">
        <v>2906</v>
      </c>
      <c r="F4" t="s">
        <v>2894</v>
      </c>
      <c r="G4" t="s">
        <v>2907</v>
      </c>
      <c r="H4" t="s">
        <v>2896</v>
      </c>
      <c r="K4" t="s">
        <v>2897</v>
      </c>
      <c r="L4" t="s">
        <v>2903</v>
      </c>
    </row>
    <row r="5" spans="1:15" x14ac:dyDescent="0.45">
      <c r="A5" t="s">
        <v>441</v>
      </c>
      <c r="B5" t="s">
        <v>442</v>
      </c>
      <c r="C5" t="s">
        <v>2908</v>
      </c>
      <c r="D5" t="s">
        <v>2909</v>
      </c>
      <c r="E5" t="s">
        <v>2906</v>
      </c>
      <c r="F5" t="s">
        <v>2894</v>
      </c>
      <c r="G5" t="s">
        <v>2907</v>
      </c>
      <c r="H5" t="s">
        <v>2896</v>
      </c>
      <c r="K5" t="s">
        <v>2897</v>
      </c>
      <c r="L5" t="s">
        <v>2903</v>
      </c>
    </row>
    <row r="6" spans="1:15" x14ac:dyDescent="0.45">
      <c r="A6" t="s">
        <v>441</v>
      </c>
      <c r="B6" t="s">
        <v>442</v>
      </c>
      <c r="C6" t="s">
        <v>2910</v>
      </c>
      <c r="D6" t="s">
        <v>2911</v>
      </c>
      <c r="E6" t="s">
        <v>2906</v>
      </c>
      <c r="F6" t="s">
        <v>2894</v>
      </c>
      <c r="G6" t="s">
        <v>2907</v>
      </c>
      <c r="H6" t="s">
        <v>2896</v>
      </c>
      <c r="K6" t="s">
        <v>2897</v>
      </c>
      <c r="L6" t="s">
        <v>2903</v>
      </c>
    </row>
    <row r="7" spans="1:15" x14ac:dyDescent="0.45">
      <c r="A7" t="s">
        <v>441</v>
      </c>
      <c r="B7" t="s">
        <v>442</v>
      </c>
      <c r="C7" t="s">
        <v>2912</v>
      </c>
      <c r="D7" t="s">
        <v>2913</v>
      </c>
      <c r="E7" t="s">
        <v>2906</v>
      </c>
      <c r="F7" t="s">
        <v>2894</v>
      </c>
      <c r="G7" t="s">
        <v>2907</v>
      </c>
      <c r="H7" t="s">
        <v>2896</v>
      </c>
      <c r="K7" t="s">
        <v>2897</v>
      </c>
      <c r="L7" t="s">
        <v>2903</v>
      </c>
    </row>
    <row r="8" spans="1:15" x14ac:dyDescent="0.45">
      <c r="A8" t="s">
        <v>467</v>
      </c>
      <c r="B8" t="s">
        <v>893</v>
      </c>
      <c r="C8" t="s">
        <v>6</v>
      </c>
      <c r="D8" t="s">
        <v>713</v>
      </c>
      <c r="E8" t="s">
        <v>2906</v>
      </c>
      <c r="F8" t="s">
        <v>2902</v>
      </c>
      <c r="G8" t="s">
        <v>2895</v>
      </c>
      <c r="H8" t="s">
        <v>2914</v>
      </c>
      <c r="I8" t="s">
        <v>2915</v>
      </c>
      <c r="K8" t="s">
        <v>2897</v>
      </c>
      <c r="L8" t="s">
        <v>2903</v>
      </c>
      <c r="N8" t="s">
        <v>2916</v>
      </c>
      <c r="O8" t="s">
        <v>2917</v>
      </c>
    </row>
    <row r="9" spans="1:15" x14ac:dyDescent="0.45">
      <c r="A9" t="s">
        <v>467</v>
      </c>
      <c r="B9" t="s">
        <v>893</v>
      </c>
      <c r="C9" t="s">
        <v>8</v>
      </c>
      <c r="D9" t="s">
        <v>2918</v>
      </c>
      <c r="E9" t="s">
        <v>2906</v>
      </c>
      <c r="F9" t="s">
        <v>2902</v>
      </c>
      <c r="G9" t="s">
        <v>2895</v>
      </c>
      <c r="H9" t="s">
        <v>2914</v>
      </c>
      <c r="I9" t="s">
        <v>2915</v>
      </c>
      <c r="K9" t="s">
        <v>2897</v>
      </c>
      <c r="L9" t="s">
        <v>2903</v>
      </c>
      <c r="N9" t="s">
        <v>2916</v>
      </c>
      <c r="O9" t="s">
        <v>2917</v>
      </c>
    </row>
    <row r="10" spans="1:15" x14ac:dyDescent="0.45">
      <c r="A10" t="s">
        <v>467</v>
      </c>
      <c r="B10" t="s">
        <v>893</v>
      </c>
      <c r="C10" t="s">
        <v>10</v>
      </c>
      <c r="D10" t="s">
        <v>2919</v>
      </c>
      <c r="E10" t="s">
        <v>2906</v>
      </c>
      <c r="F10" t="s">
        <v>2902</v>
      </c>
      <c r="G10" t="s">
        <v>2895</v>
      </c>
      <c r="H10" t="s">
        <v>2914</v>
      </c>
      <c r="I10" t="s">
        <v>2915</v>
      </c>
      <c r="K10" t="s">
        <v>2897</v>
      </c>
      <c r="L10" t="s">
        <v>2903</v>
      </c>
      <c r="N10" t="s">
        <v>2916</v>
      </c>
      <c r="O10" t="s">
        <v>2917</v>
      </c>
    </row>
    <row r="11" spans="1:15" x14ac:dyDescent="0.45">
      <c r="A11" t="s">
        <v>467</v>
      </c>
      <c r="B11" t="s">
        <v>893</v>
      </c>
      <c r="C11" t="s">
        <v>2920</v>
      </c>
      <c r="D11" t="s">
        <v>2921</v>
      </c>
      <c r="E11" t="s">
        <v>2906</v>
      </c>
      <c r="F11" t="s">
        <v>2902</v>
      </c>
      <c r="G11" t="s">
        <v>2895</v>
      </c>
      <c r="H11" t="s">
        <v>2914</v>
      </c>
      <c r="I11" t="s">
        <v>2915</v>
      </c>
      <c r="K11" t="s">
        <v>2897</v>
      </c>
      <c r="L11" t="s">
        <v>2903</v>
      </c>
      <c r="N11" t="s">
        <v>2916</v>
      </c>
      <c r="O11" t="s">
        <v>2917</v>
      </c>
    </row>
    <row r="12" spans="1:15" x14ac:dyDescent="0.45">
      <c r="A12" t="s">
        <v>575</v>
      </c>
      <c r="B12" t="s">
        <v>468</v>
      </c>
      <c r="C12" t="s">
        <v>51</v>
      </c>
      <c r="D12" t="s">
        <v>2922</v>
      </c>
      <c r="E12" t="s">
        <v>2906</v>
      </c>
      <c r="F12" t="s">
        <v>2923</v>
      </c>
      <c r="G12" t="s">
        <v>2895</v>
      </c>
      <c r="H12" t="s">
        <v>2896</v>
      </c>
      <c r="K12" t="s">
        <v>2897</v>
      </c>
      <c r="L12" t="s">
        <v>2903</v>
      </c>
    </row>
    <row r="13" spans="1:15" x14ac:dyDescent="0.45">
      <c r="A13" t="s">
        <v>575</v>
      </c>
      <c r="B13" t="s">
        <v>468</v>
      </c>
      <c r="C13" t="s">
        <v>49</v>
      </c>
      <c r="D13" t="s">
        <v>2924</v>
      </c>
      <c r="E13" t="s">
        <v>2906</v>
      </c>
      <c r="F13" t="s">
        <v>2923</v>
      </c>
      <c r="G13" t="s">
        <v>2895</v>
      </c>
      <c r="H13" t="s">
        <v>2896</v>
      </c>
      <c r="K13" t="s">
        <v>2897</v>
      </c>
      <c r="L13" t="s">
        <v>2903</v>
      </c>
    </row>
    <row r="14" spans="1:15" x14ac:dyDescent="0.45">
      <c r="A14" t="s">
        <v>575</v>
      </c>
      <c r="B14" t="s">
        <v>468</v>
      </c>
      <c r="C14" t="s">
        <v>2925</v>
      </c>
      <c r="D14" t="s">
        <v>2926</v>
      </c>
      <c r="E14" t="s">
        <v>2906</v>
      </c>
      <c r="F14" t="s">
        <v>2923</v>
      </c>
      <c r="G14" t="s">
        <v>2895</v>
      </c>
      <c r="H14" t="s">
        <v>2896</v>
      </c>
      <c r="K14" t="s">
        <v>2897</v>
      </c>
      <c r="L14" t="s">
        <v>2903</v>
      </c>
    </row>
    <row r="15" spans="1:15" x14ac:dyDescent="0.45">
      <c r="A15" t="s">
        <v>575</v>
      </c>
      <c r="B15" t="s">
        <v>468</v>
      </c>
      <c r="C15" t="s">
        <v>2927</v>
      </c>
      <c r="D15" t="s">
        <v>2928</v>
      </c>
      <c r="E15" t="s">
        <v>2906</v>
      </c>
      <c r="F15" t="s">
        <v>2929</v>
      </c>
      <c r="G15" t="s">
        <v>2895</v>
      </c>
      <c r="K15" t="s">
        <v>2897</v>
      </c>
      <c r="L15" t="s">
        <v>2903</v>
      </c>
    </row>
    <row r="16" spans="1:15" x14ac:dyDescent="0.45">
      <c r="A16" t="s">
        <v>903</v>
      </c>
      <c r="B16" t="s">
        <v>904</v>
      </c>
      <c r="C16" t="s">
        <v>61</v>
      </c>
      <c r="D16" t="s">
        <v>2930</v>
      </c>
      <c r="E16" t="s">
        <v>2906</v>
      </c>
      <c r="F16" t="s">
        <v>2923</v>
      </c>
      <c r="G16" t="s">
        <v>2895</v>
      </c>
      <c r="H16" t="s">
        <v>2896</v>
      </c>
      <c r="J16" t="s">
        <v>2893</v>
      </c>
      <c r="K16" t="s">
        <v>2931</v>
      </c>
      <c r="L16" t="s">
        <v>2898</v>
      </c>
      <c r="M16" t="s">
        <v>2932</v>
      </c>
    </row>
    <row r="17" spans="1:15" x14ac:dyDescent="0.45">
      <c r="A17" t="s">
        <v>903</v>
      </c>
      <c r="B17" t="s">
        <v>904</v>
      </c>
      <c r="C17" t="s">
        <v>63</v>
      </c>
      <c r="D17" t="s">
        <v>2933</v>
      </c>
      <c r="E17" t="s">
        <v>2906</v>
      </c>
      <c r="F17" t="s">
        <v>2929</v>
      </c>
      <c r="G17" t="s">
        <v>2895</v>
      </c>
      <c r="J17" t="s">
        <v>2906</v>
      </c>
      <c r="K17" t="s">
        <v>2897</v>
      </c>
      <c r="L17" t="s">
        <v>2903</v>
      </c>
    </row>
    <row r="18" spans="1:15" x14ac:dyDescent="0.45">
      <c r="A18" t="s">
        <v>903</v>
      </c>
      <c r="B18" t="s">
        <v>904</v>
      </c>
      <c r="C18" t="s">
        <v>57</v>
      </c>
      <c r="D18" t="s">
        <v>2934</v>
      </c>
      <c r="E18" t="s">
        <v>2906</v>
      </c>
      <c r="F18" t="s">
        <v>2923</v>
      </c>
      <c r="G18" t="s">
        <v>2895</v>
      </c>
      <c r="H18" s="5" t="s">
        <v>2896</v>
      </c>
      <c r="J18" t="s">
        <v>2893</v>
      </c>
      <c r="K18" t="s">
        <v>2897</v>
      </c>
      <c r="L18" t="s">
        <v>2903</v>
      </c>
    </row>
    <row r="19" spans="1:15" x14ac:dyDescent="0.45">
      <c r="A19" t="s">
        <v>903</v>
      </c>
      <c r="B19" t="s">
        <v>904</v>
      </c>
      <c r="C19" t="s">
        <v>59</v>
      </c>
      <c r="D19" t="s">
        <v>2935</v>
      </c>
      <c r="E19" t="s">
        <v>2906</v>
      </c>
      <c r="F19" t="s">
        <v>2929</v>
      </c>
      <c r="G19" t="s">
        <v>2895</v>
      </c>
      <c r="J19" t="s">
        <v>2906</v>
      </c>
      <c r="K19" t="s">
        <v>2897</v>
      </c>
      <c r="L19" t="s">
        <v>2903</v>
      </c>
    </row>
    <row r="20" spans="1:15" x14ac:dyDescent="0.45">
      <c r="A20" t="s">
        <v>903</v>
      </c>
      <c r="B20" t="s">
        <v>904</v>
      </c>
      <c r="C20" t="s">
        <v>2936</v>
      </c>
      <c r="D20" t="s">
        <v>2937</v>
      </c>
      <c r="E20" t="s">
        <v>2906</v>
      </c>
      <c r="F20" t="s">
        <v>2923</v>
      </c>
      <c r="G20" t="s">
        <v>2895</v>
      </c>
      <c r="H20" s="5" t="s">
        <v>2896</v>
      </c>
      <c r="J20" t="s">
        <v>2893</v>
      </c>
      <c r="K20" t="s">
        <v>2897</v>
      </c>
      <c r="L20" t="s">
        <v>2903</v>
      </c>
      <c r="N20" t="s">
        <v>2916</v>
      </c>
      <c r="O20" t="s">
        <v>2917</v>
      </c>
    </row>
    <row r="21" spans="1:15" x14ac:dyDescent="0.45">
      <c r="A21" t="s">
        <v>903</v>
      </c>
      <c r="B21" t="s">
        <v>904</v>
      </c>
      <c r="C21" t="s">
        <v>2938</v>
      </c>
      <c r="D21" t="s">
        <v>2939</v>
      </c>
      <c r="E21" t="s">
        <v>2906</v>
      </c>
      <c r="F21" t="s">
        <v>2923</v>
      </c>
      <c r="G21" t="s">
        <v>2895</v>
      </c>
      <c r="H21" s="5" t="s">
        <v>2896</v>
      </c>
      <c r="J21" t="s">
        <v>2893</v>
      </c>
      <c r="K21" t="s">
        <v>2897</v>
      </c>
      <c r="L21" t="s">
        <v>2903</v>
      </c>
    </row>
    <row r="22" spans="1:15" x14ac:dyDescent="0.45">
      <c r="A22" t="s">
        <v>909</v>
      </c>
      <c r="B22" t="s">
        <v>910</v>
      </c>
      <c r="C22" t="s">
        <v>77</v>
      </c>
      <c r="D22" t="s">
        <v>2940</v>
      </c>
      <c r="E22" t="s">
        <v>2906</v>
      </c>
      <c r="F22" t="s">
        <v>2894</v>
      </c>
      <c r="G22" t="s">
        <v>2907</v>
      </c>
      <c r="H22" t="s">
        <v>2914</v>
      </c>
      <c r="I22" t="s">
        <v>2941</v>
      </c>
      <c r="K22" t="s">
        <v>2897</v>
      </c>
      <c r="L22" t="s">
        <v>2903</v>
      </c>
      <c r="N22" s="5" t="s">
        <v>2916</v>
      </c>
      <c r="O22" t="s">
        <v>2942</v>
      </c>
    </row>
    <row r="23" spans="1:15" x14ac:dyDescent="0.45">
      <c r="A23" t="s">
        <v>909</v>
      </c>
      <c r="B23" t="s">
        <v>910</v>
      </c>
      <c r="C23" t="s">
        <v>79</v>
      </c>
      <c r="D23" t="s">
        <v>2943</v>
      </c>
      <c r="E23" t="s">
        <v>2906</v>
      </c>
      <c r="F23" t="s">
        <v>2894</v>
      </c>
      <c r="G23" t="s">
        <v>2907</v>
      </c>
      <c r="H23" t="s">
        <v>2914</v>
      </c>
      <c r="I23" t="s">
        <v>2941</v>
      </c>
      <c r="K23" t="s">
        <v>2897</v>
      </c>
      <c r="L23" t="s">
        <v>2903</v>
      </c>
      <c r="N23" s="5" t="s">
        <v>2916</v>
      </c>
      <c r="O23" t="s">
        <v>2942</v>
      </c>
    </row>
    <row r="24" spans="1:15" x14ac:dyDescent="0.45">
      <c r="A24" t="s">
        <v>909</v>
      </c>
      <c r="B24" t="s">
        <v>910</v>
      </c>
      <c r="C24" t="s">
        <v>81</v>
      </c>
      <c r="D24" t="s">
        <v>2944</v>
      </c>
      <c r="E24" t="s">
        <v>2906</v>
      </c>
      <c r="F24" t="s">
        <v>2894</v>
      </c>
      <c r="G24" t="s">
        <v>2907</v>
      </c>
      <c r="H24" t="s">
        <v>2914</v>
      </c>
      <c r="I24" t="s">
        <v>2941</v>
      </c>
      <c r="K24" t="s">
        <v>2897</v>
      </c>
      <c r="L24" t="s">
        <v>2903</v>
      </c>
      <c r="N24" s="5" t="s">
        <v>2916</v>
      </c>
      <c r="O24" t="s">
        <v>2942</v>
      </c>
    </row>
    <row r="25" spans="1:15" x14ac:dyDescent="0.45">
      <c r="A25" t="s">
        <v>909</v>
      </c>
      <c r="B25" t="s">
        <v>910</v>
      </c>
      <c r="C25" t="s">
        <v>83</v>
      </c>
      <c r="D25" t="s">
        <v>2945</v>
      </c>
      <c r="E25" t="s">
        <v>2906</v>
      </c>
      <c r="F25" t="s">
        <v>2894</v>
      </c>
      <c r="G25" t="s">
        <v>2907</v>
      </c>
      <c r="H25" t="s">
        <v>2914</v>
      </c>
      <c r="I25" t="s">
        <v>2941</v>
      </c>
      <c r="K25" t="s">
        <v>2897</v>
      </c>
      <c r="L25" t="s">
        <v>2903</v>
      </c>
      <c r="N25" s="5" t="s">
        <v>2916</v>
      </c>
      <c r="O25" t="s">
        <v>2942</v>
      </c>
    </row>
    <row r="26" spans="1:15" x14ac:dyDescent="0.45">
      <c r="A26" t="s">
        <v>909</v>
      </c>
      <c r="B26" t="s">
        <v>910</v>
      </c>
      <c r="C26" t="s">
        <v>85</v>
      </c>
      <c r="D26" t="s">
        <v>2946</v>
      </c>
      <c r="E26" t="s">
        <v>2906</v>
      </c>
      <c r="F26" t="s">
        <v>2894</v>
      </c>
      <c r="G26" t="s">
        <v>2907</v>
      </c>
      <c r="H26" t="s">
        <v>2914</v>
      </c>
      <c r="I26" t="s">
        <v>2941</v>
      </c>
      <c r="K26" t="s">
        <v>2897</v>
      </c>
      <c r="L26" t="s">
        <v>2903</v>
      </c>
      <c r="N26" s="5" t="s">
        <v>2916</v>
      </c>
      <c r="O26" t="s">
        <v>2942</v>
      </c>
    </row>
    <row r="27" spans="1:15" x14ac:dyDescent="0.45">
      <c r="A27" t="s">
        <v>909</v>
      </c>
      <c r="B27" t="s">
        <v>910</v>
      </c>
      <c r="C27" t="s">
        <v>87</v>
      </c>
      <c r="D27" t="s">
        <v>2947</v>
      </c>
      <c r="E27" t="s">
        <v>2906</v>
      </c>
      <c r="F27" t="s">
        <v>2894</v>
      </c>
      <c r="G27" t="s">
        <v>2907</v>
      </c>
      <c r="H27" t="s">
        <v>2914</v>
      </c>
      <c r="I27" t="s">
        <v>2915</v>
      </c>
      <c r="K27" t="s">
        <v>2897</v>
      </c>
      <c r="L27" t="s">
        <v>2903</v>
      </c>
    </row>
    <row r="37" spans="4:6" x14ac:dyDescent="0.45">
      <c r="D37" s="66" t="s">
        <v>30</v>
      </c>
      <c r="E37" s="66" t="s">
        <v>2948</v>
      </c>
      <c r="F37" s="66" t="s">
        <v>2949</v>
      </c>
    </row>
    <row r="38" spans="4:6" x14ac:dyDescent="0.45">
      <c r="D38" s="66" t="s">
        <v>30</v>
      </c>
      <c r="E38" s="66" t="s">
        <v>2950</v>
      </c>
      <c r="F38" s="66" t="s">
        <v>2951</v>
      </c>
    </row>
    <row r="39" spans="4:6" x14ac:dyDescent="0.45">
      <c r="D39" s="66" t="s">
        <v>30</v>
      </c>
      <c r="E39" s="66" t="s">
        <v>2952</v>
      </c>
      <c r="F39" s="66" t="s">
        <v>2953</v>
      </c>
    </row>
    <row r="40" spans="4:6" x14ac:dyDescent="0.45">
      <c r="D40" s="66" t="s">
        <v>30</v>
      </c>
      <c r="E40" s="66" t="s">
        <v>2954</v>
      </c>
      <c r="F40" s="66" t="s">
        <v>2955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3AA08F76BED479DD3EA2DA9C899C8" ma:contentTypeVersion="15" ma:contentTypeDescription="Create a new document." ma:contentTypeScope="" ma:versionID="f9619d1e22bd6f6e407a05c5779649f9">
  <xsd:schema xmlns:xsd="http://www.w3.org/2001/XMLSchema" xmlns:xs="http://www.w3.org/2001/XMLSchema" xmlns:p="http://schemas.microsoft.com/office/2006/metadata/properties" xmlns:ns1="http://schemas.microsoft.com/sharepoint/v3" xmlns:ns2="85f7a8fb-d24c-4d85-abc1-c3a9762cbced" xmlns:ns3="59404a1c-1a49-4038-94d7-6710aa847bb8" targetNamespace="http://schemas.microsoft.com/office/2006/metadata/properties" ma:root="true" ma:fieldsID="4f5cdb9d75a271c6fec3eea4749d2014" ns1:_="" ns2:_="" ns3:_="">
    <xsd:import namespace="http://schemas.microsoft.com/sharepoint/v3"/>
    <xsd:import namespace="85f7a8fb-d24c-4d85-abc1-c3a9762cbced"/>
    <xsd:import namespace="59404a1c-1a49-4038-94d7-6710aa847b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7a8fb-d24c-4d85-abc1-c3a9762cb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04a1c-1a49-4038-94d7-6710aa847b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7a09544-e4f0-4284-918a-3f5eb6886f1b}" ma:internalName="TaxCatchAll" ma:showField="CatchAllData" ma:web="59404a1c-1a49-4038-94d7-6710aa847b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404a1c-1a49-4038-94d7-6710aa847bb8" xsi:nil="true"/>
    <lcf76f155ced4ddcb4097134ff3c332f xmlns="85f7a8fb-d24c-4d85-abc1-c3a9762cbced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B6CE01-A762-4034-83B9-11921D4497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0198DA-CBBD-462A-BFB1-D984E27137A3}"/>
</file>

<file path=customXml/itemProps3.xml><?xml version="1.0" encoding="utf-8"?>
<ds:datastoreItem xmlns:ds="http://schemas.openxmlformats.org/officeDocument/2006/customXml" ds:itemID="{5C98FEF7-BE8C-478C-8E93-2DA7F0A40844}">
  <ds:schemaRefs>
    <ds:schemaRef ds:uri="http://schemas.microsoft.com/office/2006/metadata/properties"/>
    <ds:schemaRef ds:uri="http://schemas.microsoft.com/office/infopath/2007/PartnerControls"/>
    <ds:schemaRef ds:uri="59404a1c-1a49-4038-94d7-6710aa847bb8"/>
    <ds:schemaRef ds:uri="85f7a8fb-d24c-4d85-abc1-c3a9762cbce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AFW_Policy</vt:lpstr>
      <vt:lpstr>AFW_Parameters</vt:lpstr>
      <vt:lpstr>AFW_Targeting</vt:lpstr>
      <vt:lpstr>AFW_Parameters_MM</vt:lpstr>
      <vt:lpstr>Products_SEN</vt:lpstr>
      <vt:lpstr>Products_GMB</vt:lpstr>
      <vt:lpstr>Products_MRT</vt:lpstr>
      <vt:lpstr>coicop_18_3</vt:lpstr>
      <vt:lpstr>AFW_Programs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Julieth Carolina Pico Mejia</dc:creator>
  <cp:keywords/>
  <dc:description/>
  <cp:lastModifiedBy>Daniel Valderrama Gonzalez</cp:lastModifiedBy>
  <cp:revision/>
  <dcterms:created xsi:type="dcterms:W3CDTF">2020-01-10T17:10:14Z</dcterms:created>
  <dcterms:modified xsi:type="dcterms:W3CDTF">2025-10-30T13:39:41Z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0x0101001853AA08F76BED479DD3EA2DA9C899C8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2025-08-02T16:49:31Z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bc82c2b9-9bea-45eb-8c0f-f7cc65cdc898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10, 0, 1, 2</vt:lpwstr>
  </property>
</Properties>
</file>